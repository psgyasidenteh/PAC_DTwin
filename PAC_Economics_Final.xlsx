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ec01227d2863cd/Documents/PlantDesign/Group 7B/"/>
    </mc:Choice>
  </mc:AlternateContent>
  <xr:revisionPtr revIDLastSave="0" documentId="8_{3C81054E-7A85-4E6E-9260-F9606186BB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shFlow" sheetId="1" r:id="rId1"/>
    <sheet name="Labour" sheetId="4" r:id="rId2"/>
    <sheet name="CAPEX" sheetId="3" r:id="rId3"/>
    <sheet name="Summary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F12" i="2"/>
  <c r="F11" i="2"/>
  <c r="C11" i="2"/>
  <c r="B72" i="1"/>
  <c r="K17" i="1"/>
  <c r="K12" i="1"/>
  <c r="B6" i="1"/>
  <c r="R51" i="3"/>
  <c r="P51" i="3"/>
  <c r="R46" i="3"/>
  <c r="R40" i="3"/>
  <c r="R31" i="3"/>
  <c r="R24" i="3"/>
  <c r="P24" i="3"/>
  <c r="R20" i="3"/>
  <c r="P20" i="3"/>
  <c r="R13" i="3"/>
  <c r="R8" i="3"/>
  <c r="R2" i="3"/>
  <c r="F40" i="2"/>
  <c r="G40" i="2" s="1"/>
  <c r="C24" i="4"/>
  <c r="B29" i="4" s="1"/>
  <c r="D23" i="4"/>
  <c r="D22" i="4"/>
  <c r="D21" i="4"/>
  <c r="D20" i="4"/>
  <c r="D19" i="4"/>
  <c r="D18" i="4"/>
  <c r="E14" i="4"/>
  <c r="B28" i="4" s="1"/>
  <c r="B30" i="4" s="1"/>
  <c r="C14" i="4"/>
  <c r="E13" i="4"/>
  <c r="F13" i="4" s="1"/>
  <c r="F12" i="4"/>
  <c r="E12" i="4"/>
  <c r="E11" i="4"/>
  <c r="F11" i="4" s="1"/>
  <c r="F10" i="4"/>
  <c r="E10" i="4"/>
  <c r="E9" i="4"/>
  <c r="F9" i="4" s="1"/>
  <c r="F8" i="4"/>
  <c r="E8" i="4"/>
  <c r="E7" i="4"/>
  <c r="F7" i="4" s="1"/>
  <c r="F6" i="4"/>
  <c r="E6" i="4"/>
  <c r="E5" i="4"/>
  <c r="F5" i="4" s="1"/>
  <c r="I15" i="1"/>
  <c r="C31" i="2"/>
  <c r="E25" i="2"/>
  <c r="E24" i="2"/>
  <c r="C9" i="2"/>
  <c r="D25" i="2" s="1"/>
  <c r="C8" i="2"/>
  <c r="F8" i="2"/>
  <c r="G34" i="2"/>
  <c r="C32" i="2"/>
  <c r="C27" i="2"/>
  <c r="D27" i="2"/>
  <c r="E27" i="2"/>
  <c r="F27" i="2"/>
  <c r="G27" i="2" s="1"/>
  <c r="D26" i="2"/>
  <c r="E26" i="2"/>
  <c r="F26" i="2"/>
  <c r="G26" i="2" s="1"/>
  <c r="C26" i="2"/>
  <c r="F34" i="2"/>
  <c r="F33" i="2"/>
  <c r="G33" i="2" s="1"/>
  <c r="E32" i="2"/>
  <c r="E31" i="2"/>
  <c r="C17" i="2"/>
  <c r="E17" i="2"/>
  <c r="C18" i="2"/>
  <c r="D18" i="2"/>
  <c r="E18" i="2"/>
  <c r="C19" i="2"/>
  <c r="D19" i="2"/>
  <c r="E19" i="2"/>
  <c r="C20" i="2"/>
  <c r="D20" i="2"/>
  <c r="E20" i="2"/>
  <c r="F20" i="2"/>
  <c r="G20" i="2" s="1"/>
  <c r="D16" i="2"/>
  <c r="E16" i="2"/>
  <c r="C16" i="2"/>
  <c r="D24" i="4" l="1"/>
  <c r="C29" i="4" s="1"/>
  <c r="F14" i="4"/>
  <c r="C28" i="4" s="1"/>
  <c r="D24" i="2"/>
  <c r="F24" i="2" s="1"/>
  <c r="F25" i="2"/>
  <c r="G25" i="2" s="1"/>
  <c r="C21" i="2"/>
  <c r="C30" i="4" l="1"/>
  <c r="K25" i="1" s="1"/>
  <c r="F35" i="2" s="1"/>
  <c r="G35" i="2" s="1"/>
  <c r="G24" i="2"/>
  <c r="G28" i="2" s="1"/>
  <c r="F28" i="2"/>
  <c r="N60" i="3"/>
  <c r="P60" i="3" s="1"/>
  <c r="M60" i="3"/>
  <c r="H60" i="3"/>
  <c r="N59" i="3"/>
  <c r="P59" i="3" s="1"/>
  <c r="M59" i="3"/>
  <c r="H59" i="3"/>
  <c r="N58" i="3"/>
  <c r="P58" i="3" s="1"/>
  <c r="M58" i="3"/>
  <c r="H58" i="3"/>
  <c r="N57" i="3"/>
  <c r="P57" i="3" s="1"/>
  <c r="M57" i="3"/>
  <c r="H57" i="3"/>
  <c r="N56" i="3"/>
  <c r="P56" i="3" s="1"/>
  <c r="M56" i="3"/>
  <c r="H56" i="3"/>
  <c r="N55" i="3"/>
  <c r="P55" i="3" s="1"/>
  <c r="M55" i="3"/>
  <c r="H55" i="3"/>
  <c r="N54" i="3"/>
  <c r="P54" i="3" s="1"/>
  <c r="M54" i="3"/>
  <c r="H54" i="3"/>
  <c r="N53" i="3"/>
  <c r="P53" i="3" s="1"/>
  <c r="M53" i="3"/>
  <c r="H53" i="3"/>
  <c r="N52" i="3"/>
  <c r="P52" i="3" s="1"/>
  <c r="M52" i="3"/>
  <c r="H52" i="3"/>
  <c r="N51" i="3"/>
  <c r="M51" i="3"/>
  <c r="H51" i="3"/>
  <c r="N50" i="3"/>
  <c r="P50" i="3" s="1"/>
  <c r="M50" i="3"/>
  <c r="H50" i="3"/>
  <c r="N49" i="3"/>
  <c r="P49" i="3" s="1"/>
  <c r="M49" i="3"/>
  <c r="H49" i="3"/>
  <c r="N48" i="3"/>
  <c r="P48" i="3" s="1"/>
  <c r="M48" i="3"/>
  <c r="H48" i="3"/>
  <c r="N47" i="3"/>
  <c r="P47" i="3" s="1"/>
  <c r="M47" i="3"/>
  <c r="H47" i="3"/>
  <c r="N46" i="3"/>
  <c r="P46" i="3" s="1"/>
  <c r="M46" i="3"/>
  <c r="H46" i="3"/>
  <c r="N45" i="3"/>
  <c r="P45" i="3" s="1"/>
  <c r="M45" i="3"/>
  <c r="H45" i="3"/>
  <c r="N44" i="3"/>
  <c r="P44" i="3" s="1"/>
  <c r="M44" i="3"/>
  <c r="H44" i="3"/>
  <c r="N43" i="3"/>
  <c r="P43" i="3" s="1"/>
  <c r="M43" i="3"/>
  <c r="H43" i="3"/>
  <c r="N42" i="3"/>
  <c r="P42" i="3" s="1"/>
  <c r="M42" i="3"/>
  <c r="H42" i="3"/>
  <c r="N41" i="3"/>
  <c r="P41" i="3" s="1"/>
  <c r="M41" i="3"/>
  <c r="H41" i="3"/>
  <c r="P40" i="3"/>
  <c r="N40" i="3"/>
  <c r="M40" i="3"/>
  <c r="H40" i="3"/>
  <c r="P39" i="3"/>
  <c r="N39" i="3"/>
  <c r="M39" i="3"/>
  <c r="H39" i="3"/>
  <c r="P38" i="3"/>
  <c r="N38" i="3"/>
  <c r="M38" i="3"/>
  <c r="H38" i="3"/>
  <c r="P37" i="3"/>
  <c r="N37" i="3"/>
  <c r="M37" i="3"/>
  <c r="H37" i="3"/>
  <c r="P36" i="3"/>
  <c r="N36" i="3"/>
  <c r="M36" i="3"/>
  <c r="H36" i="3"/>
  <c r="P35" i="3"/>
  <c r="N35" i="3"/>
  <c r="M35" i="3"/>
  <c r="H35" i="3"/>
  <c r="N34" i="3"/>
  <c r="M34" i="3"/>
  <c r="H34" i="3"/>
  <c r="P33" i="3"/>
  <c r="N33" i="3"/>
  <c r="M33" i="3"/>
  <c r="H33" i="3"/>
  <c r="P32" i="3"/>
  <c r="N32" i="3"/>
  <c r="M32" i="3"/>
  <c r="H32" i="3"/>
  <c r="P31" i="3"/>
  <c r="N31" i="3"/>
  <c r="M31" i="3"/>
  <c r="H31" i="3"/>
  <c r="P30" i="3"/>
  <c r="N30" i="3"/>
  <c r="M30" i="3"/>
  <c r="H30" i="3"/>
  <c r="P29" i="3"/>
  <c r="N29" i="3"/>
  <c r="M29" i="3"/>
  <c r="H29" i="3"/>
  <c r="P28" i="3"/>
  <c r="N28" i="3"/>
  <c r="M28" i="3"/>
  <c r="H28" i="3"/>
  <c r="P27" i="3"/>
  <c r="N27" i="3"/>
  <c r="M27" i="3"/>
  <c r="H27" i="3"/>
  <c r="P26" i="3"/>
  <c r="N26" i="3"/>
  <c r="M26" i="3"/>
  <c r="H26" i="3"/>
  <c r="P25" i="3"/>
  <c r="N25" i="3"/>
  <c r="M25" i="3"/>
  <c r="H25" i="3"/>
  <c r="N24" i="3"/>
  <c r="M24" i="3"/>
  <c r="H24" i="3"/>
  <c r="P23" i="3"/>
  <c r="N23" i="3"/>
  <c r="M23" i="3"/>
  <c r="H23" i="3"/>
  <c r="P22" i="3"/>
  <c r="N22" i="3"/>
  <c r="M22" i="3"/>
  <c r="H22" i="3"/>
  <c r="P21" i="3"/>
  <c r="N21" i="3"/>
  <c r="M21" i="3"/>
  <c r="H21" i="3"/>
  <c r="N20" i="3"/>
  <c r="M20" i="3"/>
  <c r="H20" i="3"/>
  <c r="P19" i="3"/>
  <c r="N19" i="3"/>
  <c r="M19" i="3"/>
  <c r="H19" i="3"/>
  <c r="N18" i="3"/>
  <c r="M18" i="3"/>
  <c r="H18" i="3"/>
  <c r="P17" i="3"/>
  <c r="N17" i="3"/>
  <c r="M17" i="3"/>
  <c r="H17" i="3"/>
  <c r="P16" i="3"/>
  <c r="N16" i="3"/>
  <c r="M16" i="3"/>
  <c r="H16" i="3"/>
  <c r="P15" i="3"/>
  <c r="N15" i="3"/>
  <c r="M15" i="3"/>
  <c r="H15" i="3"/>
  <c r="P14" i="3"/>
  <c r="N14" i="3"/>
  <c r="M14" i="3"/>
  <c r="H14" i="3"/>
  <c r="P13" i="3"/>
  <c r="N13" i="3"/>
  <c r="M13" i="3"/>
  <c r="H13" i="3"/>
  <c r="P12" i="3"/>
  <c r="N12" i="3"/>
  <c r="M12" i="3"/>
  <c r="H12" i="3"/>
  <c r="P11" i="3"/>
  <c r="N11" i="3"/>
  <c r="M11" i="3"/>
  <c r="H11" i="3"/>
  <c r="P10" i="3"/>
  <c r="N10" i="3"/>
  <c r="M10" i="3"/>
  <c r="H10" i="3"/>
  <c r="P9" i="3"/>
  <c r="M9" i="3"/>
  <c r="H9" i="3"/>
  <c r="M8" i="3"/>
  <c r="H8" i="3"/>
  <c r="N8" i="3" s="1"/>
  <c r="P8" i="3" s="1"/>
  <c r="M7" i="3"/>
  <c r="H7" i="3"/>
  <c r="N7" i="3" s="1"/>
  <c r="M6" i="3"/>
  <c r="H6" i="3"/>
  <c r="M5" i="3"/>
  <c r="H5" i="3"/>
  <c r="M4" i="3"/>
  <c r="H4" i="3"/>
  <c r="N4" i="3" s="1"/>
  <c r="P4" i="3" s="1"/>
  <c r="P3" i="3"/>
  <c r="M3" i="3"/>
  <c r="H3" i="3"/>
  <c r="N3" i="3" s="1"/>
  <c r="P2" i="3"/>
  <c r="M2" i="3"/>
  <c r="N2" i="3" s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Q37" i="1"/>
  <c r="I37" i="1"/>
  <c r="C26" i="1"/>
  <c r="E25" i="1"/>
  <c r="C25" i="1"/>
  <c r="I16" i="1"/>
  <c r="D31" i="2"/>
  <c r="I11" i="1"/>
  <c r="K11" i="1" s="1"/>
  <c r="K10" i="1"/>
  <c r="I10" i="1"/>
  <c r="I9" i="1"/>
  <c r="I8" i="1"/>
  <c r="K7" i="1"/>
  <c r="F16" i="2" s="1"/>
  <c r="G16" i="2" s="1"/>
  <c r="I7" i="1"/>
  <c r="C37" i="1" l="1"/>
  <c r="S40" i="1"/>
  <c r="F19" i="2"/>
  <c r="G19" i="2" s="1"/>
  <c r="K16" i="1"/>
  <c r="F32" i="2" s="1"/>
  <c r="G32" i="2" s="1"/>
  <c r="D32" i="2"/>
  <c r="K15" i="1"/>
  <c r="F31" i="2" s="1"/>
  <c r="K8" i="1"/>
  <c r="D17" i="2"/>
  <c r="D21" i="2" s="1"/>
  <c r="R41" i="1"/>
  <c r="N41" i="1"/>
  <c r="J41" i="1"/>
  <c r="F41" i="1"/>
  <c r="B41" i="1"/>
  <c r="U41" i="1"/>
  <c r="P41" i="1"/>
  <c r="K41" i="1"/>
  <c r="E41" i="1"/>
  <c r="T41" i="1"/>
  <c r="M41" i="1"/>
  <c r="G41" i="1"/>
  <c r="S41" i="1"/>
  <c r="L41" i="1"/>
  <c r="D41" i="1"/>
  <c r="Q41" i="1"/>
  <c r="I41" i="1"/>
  <c r="C41" i="1"/>
  <c r="O41" i="1"/>
  <c r="H41" i="1"/>
  <c r="N42" i="1"/>
  <c r="J42" i="1"/>
  <c r="F42" i="1"/>
  <c r="Q42" i="1"/>
  <c r="L42" i="1"/>
  <c r="G42" i="1"/>
  <c r="G40" i="1"/>
  <c r="U40" i="1"/>
  <c r="C42" i="1"/>
  <c r="P42" i="1"/>
  <c r="R37" i="1"/>
  <c r="N37" i="1"/>
  <c r="J37" i="1"/>
  <c r="F37" i="1"/>
  <c r="B37" i="1"/>
  <c r="U37" i="1"/>
  <c r="P37" i="1"/>
  <c r="K37" i="1"/>
  <c r="E37" i="1"/>
  <c r="K9" i="1"/>
  <c r="F18" i="2" s="1"/>
  <c r="G18" i="2" s="1"/>
  <c r="D37" i="1"/>
  <c r="L37" i="1"/>
  <c r="S37" i="1"/>
  <c r="H40" i="1"/>
  <c r="P40" i="1"/>
  <c r="D42" i="1"/>
  <c r="S42" i="1"/>
  <c r="E26" i="1"/>
  <c r="G37" i="1"/>
  <c r="M37" i="1"/>
  <c r="T37" i="1"/>
  <c r="C40" i="1"/>
  <c r="K40" i="1"/>
  <c r="Q40" i="1"/>
  <c r="E42" i="1"/>
  <c r="M42" i="1"/>
  <c r="T42" i="1"/>
  <c r="R38" i="1"/>
  <c r="N38" i="1"/>
  <c r="J38" i="1"/>
  <c r="F38" i="1"/>
  <c r="B38" i="1"/>
  <c r="Q38" i="1"/>
  <c r="L38" i="1"/>
  <c r="G38" i="1"/>
  <c r="H37" i="1"/>
  <c r="O37" i="1"/>
  <c r="C38" i="1"/>
  <c r="I38" i="1"/>
  <c r="P38" i="1"/>
  <c r="E40" i="1"/>
  <c r="L40" i="1"/>
  <c r="H42" i="1"/>
  <c r="U42" i="1"/>
  <c r="R40" i="1"/>
  <c r="N40" i="1"/>
  <c r="J40" i="1"/>
  <c r="F40" i="1"/>
  <c r="B40" i="1"/>
  <c r="T40" i="1"/>
  <c r="O40" i="1"/>
  <c r="I40" i="1"/>
  <c r="D40" i="1"/>
  <c r="E27" i="1"/>
  <c r="M40" i="1"/>
  <c r="I42" i="1"/>
  <c r="N5" i="3"/>
  <c r="P5" i="3" s="1"/>
  <c r="P63" i="3" s="1"/>
  <c r="P64" i="3" s="1"/>
  <c r="N6" i="3"/>
  <c r="P6" i="3" s="1"/>
  <c r="O42" i="1" l="1"/>
  <c r="K42" i="1"/>
  <c r="B42" i="1"/>
  <c r="R42" i="1"/>
  <c r="D43" i="1"/>
  <c r="T43" i="1"/>
  <c r="I43" i="1"/>
  <c r="F43" i="1"/>
  <c r="Q43" i="1"/>
  <c r="G43" i="1"/>
  <c r="P43" i="1"/>
  <c r="M43" i="1"/>
  <c r="J43" i="1"/>
  <c r="L43" i="1"/>
  <c r="U43" i="1"/>
  <c r="C43" i="1"/>
  <c r="B43" i="1"/>
  <c r="R43" i="1"/>
  <c r="H43" i="1"/>
  <c r="E43" i="1"/>
  <c r="O43" i="1"/>
  <c r="K43" i="1"/>
  <c r="S43" i="1"/>
  <c r="N43" i="1"/>
  <c r="G31" i="2"/>
  <c r="F17" i="2"/>
  <c r="U38" i="1"/>
  <c r="M38" i="1"/>
  <c r="D38" i="1"/>
  <c r="T38" i="1"/>
  <c r="K38" i="1"/>
  <c r="O38" i="1"/>
  <c r="S38" i="1"/>
  <c r="S46" i="1" s="1"/>
  <c r="H38" i="1"/>
  <c r="E38" i="1"/>
  <c r="P67" i="3"/>
  <c r="B7" i="1" s="1"/>
  <c r="P65" i="3"/>
  <c r="P66" i="3"/>
  <c r="B5" i="1"/>
  <c r="C7" i="2"/>
  <c r="R36" i="1"/>
  <c r="N36" i="1"/>
  <c r="J36" i="1"/>
  <c r="F36" i="1"/>
  <c r="B36" i="1"/>
  <c r="T36" i="1"/>
  <c r="O36" i="1"/>
  <c r="I36" i="1"/>
  <c r="D36" i="1"/>
  <c r="U36" i="1"/>
  <c r="M36" i="1"/>
  <c r="G36" i="1"/>
  <c r="S36" i="1"/>
  <c r="L36" i="1"/>
  <c r="E36" i="1"/>
  <c r="Q36" i="1"/>
  <c r="K36" i="1"/>
  <c r="C36" i="1"/>
  <c r="P36" i="1"/>
  <c r="H36" i="1"/>
  <c r="R39" i="1"/>
  <c r="N39" i="1"/>
  <c r="N46" i="1" s="1"/>
  <c r="J39" i="1"/>
  <c r="J46" i="1" s="1"/>
  <c r="F39" i="1"/>
  <c r="B39" i="1"/>
  <c r="B46" i="1" s="1"/>
  <c r="B54" i="1" s="1"/>
  <c r="S39" i="1"/>
  <c r="M39" i="1"/>
  <c r="H39" i="1"/>
  <c r="H46" i="1" s="1"/>
  <c r="C39" i="1"/>
  <c r="L39" i="1"/>
  <c r="L46" i="1" s="1"/>
  <c r="Q39" i="1"/>
  <c r="Q46" i="1" s="1"/>
  <c r="K39" i="1"/>
  <c r="K46" i="1" s="1"/>
  <c r="D39" i="1"/>
  <c r="D46" i="1" s="1"/>
  <c r="P39" i="1"/>
  <c r="I39" i="1"/>
  <c r="I46" i="1" s="1"/>
  <c r="U39" i="1"/>
  <c r="U46" i="1" s="1"/>
  <c r="O39" i="1"/>
  <c r="G39" i="1"/>
  <c r="G46" i="1" s="1"/>
  <c r="T39" i="1"/>
  <c r="T46" i="1" s="1"/>
  <c r="E39" i="1"/>
  <c r="R46" i="1"/>
  <c r="P46" i="1"/>
  <c r="O46" i="1"/>
  <c r="B74" i="1" l="1"/>
  <c r="P68" i="3"/>
  <c r="C46" i="1"/>
  <c r="E46" i="1"/>
  <c r="F46" i="1"/>
  <c r="M46" i="1"/>
  <c r="G17" i="2"/>
  <c r="G21" i="2" s="1"/>
  <c r="F21" i="2"/>
  <c r="B8" i="1"/>
  <c r="B9" i="1" s="1"/>
  <c r="F41" i="2" s="1"/>
  <c r="G41" i="2" s="1"/>
  <c r="S61" i="1"/>
  <c r="R61" i="1"/>
  <c r="U60" i="1"/>
  <c r="P69" i="3"/>
  <c r="P70" i="3" s="1"/>
  <c r="P71" i="3" s="1"/>
  <c r="H61" i="1"/>
  <c r="Q61" i="1"/>
  <c r="G61" i="1"/>
  <c r="I61" i="1"/>
  <c r="F61" i="1"/>
  <c r="D61" i="1"/>
  <c r="E61" i="1"/>
  <c r="M61" i="1"/>
  <c r="O61" i="1"/>
  <c r="J61" i="1"/>
  <c r="C56" i="1"/>
  <c r="B56" i="1"/>
  <c r="K26" i="1"/>
  <c r="F56" i="1"/>
  <c r="E56" i="1"/>
  <c r="K27" i="1"/>
  <c r="F37" i="2" s="1"/>
  <c r="G37" i="2" s="1"/>
  <c r="D56" i="1"/>
  <c r="K61" i="1"/>
  <c r="B61" i="1"/>
  <c r="P61" i="1"/>
  <c r="C61" i="1"/>
  <c r="L61" i="1"/>
  <c r="U61" i="1"/>
  <c r="T61" i="1"/>
  <c r="N61" i="1"/>
  <c r="K28" i="1" l="1"/>
  <c r="F38" i="2" s="1"/>
  <c r="G38" i="2" s="1"/>
  <c r="F36" i="2"/>
  <c r="G36" i="2" s="1"/>
  <c r="B10" i="1"/>
  <c r="C6" i="2" s="1"/>
  <c r="S49" i="1"/>
  <c r="O49" i="1"/>
  <c r="K49" i="1"/>
  <c r="G49" i="1"/>
  <c r="C49" i="1"/>
  <c r="Q49" i="1"/>
  <c r="L49" i="1"/>
  <c r="F49" i="1"/>
  <c r="T49" i="1"/>
  <c r="M49" i="1"/>
  <c r="E49" i="1"/>
  <c r="R49" i="1"/>
  <c r="J49" i="1"/>
  <c r="D49" i="1"/>
  <c r="B49" i="1"/>
  <c r="N49" i="1"/>
  <c r="I49" i="1"/>
  <c r="U49" i="1"/>
  <c r="H49" i="1"/>
  <c r="P49" i="1"/>
  <c r="S48" i="1"/>
  <c r="O48" i="1"/>
  <c r="K48" i="1"/>
  <c r="G48" i="1"/>
  <c r="C48" i="1"/>
  <c r="U48" i="1"/>
  <c r="P48" i="1"/>
  <c r="J48" i="1"/>
  <c r="E48" i="1"/>
  <c r="R48" i="1"/>
  <c r="L48" i="1"/>
  <c r="D48" i="1"/>
  <c r="Q48" i="1"/>
  <c r="I48" i="1"/>
  <c r="B48" i="1"/>
  <c r="T48" i="1"/>
  <c r="F48" i="1"/>
  <c r="N48" i="1"/>
  <c r="M48" i="1"/>
  <c r="H48" i="1"/>
  <c r="S50" i="1" l="1"/>
  <c r="O50" i="1"/>
  <c r="K50" i="1"/>
  <c r="G50" i="1"/>
  <c r="C50" i="1"/>
  <c r="R50" i="1"/>
  <c r="M50" i="1"/>
  <c r="H50" i="1"/>
  <c r="B50" i="1"/>
  <c r="Q50" i="1"/>
  <c r="N50" i="1"/>
  <c r="F50" i="1"/>
  <c r="U50" i="1"/>
  <c r="L50" i="1"/>
  <c r="E50" i="1"/>
  <c r="J50" i="1"/>
  <c r="I50" i="1"/>
  <c r="T50" i="1"/>
  <c r="D50" i="1"/>
  <c r="P50" i="1"/>
  <c r="N7" i="1"/>
  <c r="D67" i="1" s="1"/>
  <c r="N6" i="1"/>
  <c r="C67" i="1" s="1"/>
  <c r="N5" i="1"/>
  <c r="B67" i="1" s="1"/>
  <c r="B68" i="1" l="1"/>
  <c r="C68" i="1" s="1"/>
  <c r="D68" i="1" s="1"/>
  <c r="S51" i="1"/>
  <c r="S53" i="1"/>
  <c r="S54" i="1"/>
  <c r="S55" i="1" s="1"/>
  <c r="S57" i="1" s="1"/>
  <c r="E51" i="1"/>
  <c r="E53" i="1"/>
  <c r="E54" i="1" s="1"/>
  <c r="E55" i="1" s="1"/>
  <c r="E57" i="1" s="1"/>
  <c r="P51" i="1"/>
  <c r="P53" i="1" s="1"/>
  <c r="P54" i="1" s="1"/>
  <c r="P55" i="1" s="1"/>
  <c r="P57" i="1" s="1"/>
  <c r="L51" i="1"/>
  <c r="L53" i="1" s="1"/>
  <c r="L54" i="1" s="1"/>
  <c r="L55" i="1" s="1"/>
  <c r="L57" i="1" s="1"/>
  <c r="K51" i="1"/>
  <c r="K53" i="1" s="1"/>
  <c r="K54" i="1" s="1"/>
  <c r="K55" i="1" s="1"/>
  <c r="K57" i="1" s="1"/>
  <c r="D51" i="1"/>
  <c r="D53" i="1" s="1"/>
  <c r="D54" i="1" s="1"/>
  <c r="D55" i="1" s="1"/>
  <c r="D57" i="1" s="1"/>
  <c r="I51" i="1"/>
  <c r="I53" i="1"/>
  <c r="I54" i="1" s="1"/>
  <c r="I55" i="1" s="1"/>
  <c r="I57" i="1" s="1"/>
  <c r="G51" i="1"/>
  <c r="G53" i="1" s="1"/>
  <c r="G54" i="1" s="1"/>
  <c r="G55" i="1" s="1"/>
  <c r="G57" i="1" s="1"/>
  <c r="H51" i="1"/>
  <c r="H53" i="1" s="1"/>
  <c r="H54" i="1" s="1"/>
  <c r="H55" i="1" s="1"/>
  <c r="H57" i="1" s="1"/>
  <c r="O51" i="1"/>
  <c r="O53" i="1"/>
  <c r="O54" i="1" s="1"/>
  <c r="O55" i="1" s="1"/>
  <c r="O57" i="1" s="1"/>
  <c r="N51" i="1"/>
  <c r="N53" i="1" s="1"/>
  <c r="N54" i="1" s="1"/>
  <c r="N55" i="1" s="1"/>
  <c r="N57" i="1" s="1"/>
  <c r="U51" i="1"/>
  <c r="U53" i="1" s="1"/>
  <c r="U54" i="1" s="1"/>
  <c r="U55" i="1" s="1"/>
  <c r="U57" i="1" s="1"/>
  <c r="C51" i="1"/>
  <c r="C53" i="1"/>
  <c r="C54" i="1" s="1"/>
  <c r="C55" i="1" s="1"/>
  <c r="C57" i="1" s="1"/>
  <c r="F51" i="1"/>
  <c r="F53" i="1"/>
  <c r="F54" i="1" s="1"/>
  <c r="F55" i="1" s="1"/>
  <c r="F57" i="1" s="1"/>
  <c r="T51" i="1"/>
  <c r="T53" i="1" s="1"/>
  <c r="T54" i="1" s="1"/>
  <c r="T55" i="1" s="1"/>
  <c r="T57" i="1" s="1"/>
  <c r="M51" i="1"/>
  <c r="M53" i="1" s="1"/>
  <c r="M54" i="1" s="1"/>
  <c r="M55" i="1" s="1"/>
  <c r="M57" i="1" s="1"/>
  <c r="Q51" i="1"/>
  <c r="Q53" i="1"/>
  <c r="Q54" i="1" s="1"/>
  <c r="Q55" i="1" s="1"/>
  <c r="Q57" i="1" s="1"/>
  <c r="R51" i="1"/>
  <c r="R53" i="1" s="1"/>
  <c r="R54" i="1" s="1"/>
  <c r="R55" i="1" s="1"/>
  <c r="R57" i="1" s="1"/>
  <c r="J51" i="1"/>
  <c r="J53" i="1" s="1"/>
  <c r="J54" i="1" s="1"/>
  <c r="J55" i="1" s="1"/>
  <c r="J57" i="1" s="1"/>
  <c r="F39" i="2"/>
  <c r="F42" i="2" s="1"/>
  <c r="B51" i="1"/>
  <c r="B53" i="1" s="1"/>
  <c r="B55" i="1" s="1"/>
  <c r="B57" i="1" s="1"/>
  <c r="M58" i="1" l="1"/>
  <c r="M59" i="1" s="1"/>
  <c r="M62" i="1" s="1"/>
  <c r="P67" i="1" s="1"/>
  <c r="C58" i="1"/>
  <c r="C59" i="1" s="1"/>
  <c r="C62" i="1" s="1"/>
  <c r="F67" i="1" s="1"/>
  <c r="I58" i="1"/>
  <c r="I59" i="1" s="1"/>
  <c r="I62" i="1" s="1"/>
  <c r="L67" i="1" s="1"/>
  <c r="T58" i="1"/>
  <c r="T59" i="1" s="1"/>
  <c r="T62" i="1" s="1"/>
  <c r="W67" i="1" s="1"/>
  <c r="L58" i="1"/>
  <c r="L59" i="1" s="1"/>
  <c r="L62" i="1" s="1"/>
  <c r="O67" i="1" s="1"/>
  <c r="O58" i="1"/>
  <c r="O59" i="1" s="1"/>
  <c r="O62" i="1" s="1"/>
  <c r="R67" i="1" s="1"/>
  <c r="B58" i="1"/>
  <c r="B59" i="1" s="1"/>
  <c r="B62" i="1" s="1"/>
  <c r="F58" i="1"/>
  <c r="F59" i="1" s="1"/>
  <c r="F62" i="1" s="1"/>
  <c r="I67" i="1" s="1"/>
  <c r="P58" i="1"/>
  <c r="P59" i="1" s="1"/>
  <c r="P62" i="1" s="1"/>
  <c r="S67" i="1" s="1"/>
  <c r="N58" i="1"/>
  <c r="N59" i="1" s="1"/>
  <c r="N62" i="1" s="1"/>
  <c r="Q67" i="1" s="1"/>
  <c r="E58" i="1"/>
  <c r="E59" i="1" s="1"/>
  <c r="E62" i="1" s="1"/>
  <c r="H67" i="1" s="1"/>
  <c r="Q58" i="1"/>
  <c r="Q59" i="1" s="1"/>
  <c r="Q62" i="1" s="1"/>
  <c r="T67" i="1" s="1"/>
  <c r="K58" i="1"/>
  <c r="K59" i="1" s="1"/>
  <c r="K62" i="1" s="1"/>
  <c r="N67" i="1" s="1"/>
  <c r="J58" i="1"/>
  <c r="J59" i="1" s="1"/>
  <c r="J62" i="1" s="1"/>
  <c r="M67" i="1" s="1"/>
  <c r="D58" i="1"/>
  <c r="D59" i="1" s="1"/>
  <c r="D62" i="1" s="1"/>
  <c r="G67" i="1" s="1"/>
  <c r="R58" i="1"/>
  <c r="R59" i="1" s="1"/>
  <c r="R62" i="1" s="1"/>
  <c r="U67" i="1" s="1"/>
  <c r="U58" i="1"/>
  <c r="U59" i="1" s="1"/>
  <c r="U62" i="1" s="1"/>
  <c r="X67" i="1" s="1"/>
  <c r="H58" i="1"/>
  <c r="H59" i="1" s="1"/>
  <c r="H62" i="1" s="1"/>
  <c r="K67" i="1" s="1"/>
  <c r="G58" i="1"/>
  <c r="G59" i="1" s="1"/>
  <c r="G62" i="1" s="1"/>
  <c r="J67" i="1" s="1"/>
  <c r="S58" i="1"/>
  <c r="S59" i="1" s="1"/>
  <c r="S62" i="1" s="1"/>
  <c r="V67" i="1" s="1"/>
  <c r="G39" i="2"/>
  <c r="G42" i="2" s="1"/>
  <c r="E67" i="1" l="1"/>
  <c r="B73" i="1" s="1"/>
  <c r="B63" i="1"/>
  <c r="C63" i="1" s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l="1"/>
  <c r="E68" i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B71" i="1"/>
  <c r="C10" i="2"/>
</calcChain>
</file>

<file path=xl/sharedStrings.xml><?xml version="1.0" encoding="utf-8"?>
<sst xmlns="http://schemas.openxmlformats.org/spreadsheetml/2006/main" count="493" uniqueCount="380">
  <si>
    <t>Date:</t>
  </si>
  <si>
    <t>By:</t>
  </si>
  <si>
    <t>Product (s): Poly-Aluminum Chloride (PAC)</t>
  </si>
  <si>
    <t>Capital Investment</t>
  </si>
  <si>
    <t>Awaso Bauxite (ROM ore)</t>
  </si>
  <si>
    <t>Hydrochloric Acid 32 wt%</t>
  </si>
  <si>
    <t>Calcium Aluminate (CaAl₂O₄)</t>
  </si>
  <si>
    <t>Carbon Monoxide (industrial grade)</t>
  </si>
  <si>
    <t>Process Water</t>
  </si>
  <si>
    <t>Silica Residue (Pozzolan)</t>
  </si>
  <si>
    <t>Magnetite Reject</t>
  </si>
  <si>
    <t>Unit</t>
  </si>
  <si>
    <t>Maintenance</t>
  </si>
  <si>
    <t>Poly-Aluminum Chloride (PAC) Plant - Cash Flow Analysis (Actual)</t>
  </si>
  <si>
    <t>Key Assumptions &amp; Base Parameters (at 100% Capacity)</t>
  </si>
  <si>
    <t>Operating Hours (hr/yr)</t>
  </si>
  <si>
    <t>Base Variable OPEX Calculation (Year 1, 100% Util)</t>
  </si>
  <si>
    <t>Construction Phase Spending</t>
  </si>
  <si>
    <t>Fixed Capital Investment (FCI)</t>
  </si>
  <si>
    <t>1. Raw Materials</t>
  </si>
  <si>
    <t>Year -2</t>
  </si>
  <si>
    <t>Working Capital (WC)</t>
  </si>
  <si>
    <t>Raw Material</t>
  </si>
  <si>
    <t>Flow (kg/hr)</t>
  </si>
  <si>
    <t>Annual (t/opera-yr)</t>
  </si>
  <si>
    <t>Unit Price ($/t)</t>
  </si>
  <si>
    <t>Annual Cost (USD)</t>
  </si>
  <si>
    <t>Year -1</t>
  </si>
  <si>
    <t>C_GR (Grass-Roots Investment)</t>
  </si>
  <si>
    <t>Year 0</t>
  </si>
  <si>
    <t>EPC Fee (10%)</t>
  </si>
  <si>
    <t>Contingency (15%)</t>
  </si>
  <si>
    <t>Total Capital Investment (TCI)</t>
  </si>
  <si>
    <t>Salvage Value</t>
  </si>
  <si>
    <t>Plant Life (Years)</t>
  </si>
  <si>
    <t>Depreciation Period (Yrs)</t>
  </si>
  <si>
    <t>2. Utilities</t>
  </si>
  <si>
    <t>Corporate Tax Rate</t>
  </si>
  <si>
    <t>Utility</t>
  </si>
  <si>
    <t>Usage Rate</t>
  </si>
  <si>
    <t>Annual Usage</t>
  </si>
  <si>
    <t>Unit Rate ($)</t>
  </si>
  <si>
    <t>Electricity (Load)</t>
  </si>
  <si>
    <t>Inflation (OPEX Blended)</t>
  </si>
  <si>
    <t>Cooling Water</t>
  </si>
  <si>
    <t>Price Escalation</t>
  </si>
  <si>
    <t>Plant Capacity (TPA)</t>
  </si>
  <si>
    <t>3. Logistics &amp; Other Variable</t>
  </si>
  <si>
    <t>Domestic Volume (TPA)</t>
  </si>
  <si>
    <t>Item</t>
  </si>
  <si>
    <t>Domestic Price Base ($/t)</t>
  </si>
  <si>
    <t>Logistics &amp; Distribution</t>
  </si>
  <si>
    <t>Export Price Base ($/t)</t>
  </si>
  <si>
    <t>Other Variable Costs</t>
  </si>
  <si>
    <t>By-Product Revenue Breakdown</t>
  </si>
  <si>
    <t>Base Fixed OPEX Calculation</t>
  </si>
  <si>
    <t>By-Product</t>
  </si>
  <si>
    <t>Annual (t/yr)</t>
  </si>
  <si>
    <t>Annual Rev (USD)</t>
  </si>
  <si>
    <t>Fixed Cost Item</t>
  </si>
  <si>
    <t>Calculation Basis</t>
  </si>
  <si>
    <t>Labor (Shift + Admin)</t>
  </si>
  <si>
    <t>Headcount model</t>
  </si>
  <si>
    <t>6% of FCI</t>
  </si>
  <si>
    <t>Total By-Product Revenue</t>
  </si>
  <si>
    <t>Insurance</t>
  </si>
  <si>
    <t>1.5% of FCI</t>
  </si>
  <si>
    <t>Overheads</t>
  </si>
  <si>
    <t>CSR &amp; Environmental</t>
  </si>
  <si>
    <t>Fixed</t>
  </si>
  <si>
    <t>Property Tax</t>
  </si>
  <si>
    <t>Year</t>
  </si>
  <si>
    <t>Capacity Utilisation</t>
  </si>
  <si>
    <t>Revenue</t>
  </si>
  <si>
    <t xml:space="preserve">  RM: Awaso Bauxite (ROM ore)</t>
  </si>
  <si>
    <t xml:space="preserve">  RM: Hydrochloric Acid 32 wt%</t>
  </si>
  <si>
    <t xml:space="preserve">  RM: Calcium Aluminate (CaAl₂O₄)</t>
  </si>
  <si>
    <t xml:space="preserve">  RM: Carbon Monoxide (industrial grade)</t>
  </si>
  <si>
    <t xml:space="preserve">  RM: Process Water</t>
  </si>
  <si>
    <t xml:space="preserve">  Util: Electricity</t>
  </si>
  <si>
    <t xml:space="preserve">  Util: Cooling Water</t>
  </si>
  <si>
    <t xml:space="preserve">  Logistics &amp; Distribution</t>
  </si>
  <si>
    <t xml:space="preserve">  Other Variable Costs</t>
  </si>
  <si>
    <t>Total Variable OPEX</t>
  </si>
  <si>
    <t xml:space="preserve">  Labor (Shift + Admin)</t>
  </si>
  <si>
    <t xml:space="preserve">  Maintenance</t>
  </si>
  <si>
    <t xml:space="preserve">  Insurance</t>
  </si>
  <si>
    <t xml:space="preserve">  Overheads</t>
  </si>
  <si>
    <t xml:space="preserve">  CSR &amp; Environmental</t>
  </si>
  <si>
    <t xml:space="preserve">  Property Tax</t>
  </si>
  <si>
    <t>Total Fixed OPEX</t>
  </si>
  <si>
    <t>Total OPEX (Variable + Fixed)</t>
  </si>
  <si>
    <t>EBITDA</t>
  </si>
  <si>
    <t>EBIT (Taxable Income)</t>
  </si>
  <si>
    <t>Taxes</t>
  </si>
  <si>
    <t>Working Capital &amp; Salvage Recovery</t>
  </si>
  <si>
    <t>Turn Over Ratio</t>
  </si>
  <si>
    <t>Cash Flow</t>
  </si>
  <si>
    <t>Cumulative Cash Flow</t>
  </si>
  <si>
    <t>Project Cash Flow for Evaluation</t>
  </si>
  <si>
    <t>Project Year</t>
  </si>
  <si>
    <t>Cash Flow (Million USD)</t>
  </si>
  <si>
    <t>Cumulative Cash Flow (Million USD)</t>
  </si>
  <si>
    <t>Economic Indicators</t>
  </si>
  <si>
    <t>Net Present Value (NPV)</t>
  </si>
  <si>
    <t>Equipment Tag</t>
  </si>
  <si>
    <t>Description</t>
  </si>
  <si>
    <t>Size (A)</t>
  </si>
  <si>
    <t>K1</t>
  </si>
  <si>
    <t>K2</t>
  </si>
  <si>
    <t>K3</t>
  </si>
  <si>
    <t>Base Cost C°p (USD)</t>
  </si>
  <si>
    <t>B1</t>
  </si>
  <si>
    <t>B2</t>
  </si>
  <si>
    <t>Fm</t>
  </si>
  <si>
    <t>Fp</t>
  </si>
  <si>
    <t>F_BM</t>
  </si>
  <si>
    <t>C_BM_2001 (USD)</t>
  </si>
  <si>
    <t>CEPCI Ratio (2026/2001)</t>
  </si>
  <si>
    <t>C_BM_2026 (USD)</t>
  </si>
  <si>
    <t>Notes</t>
  </si>
  <si>
    <t>CRN-101 (Done)</t>
  </si>
  <si>
    <t>Gantry Crane, grab bucket</t>
  </si>
  <si>
    <t>t SWL</t>
  </si>
  <si>
    <t>Overhead Crane, Imported, CS/galvanised</t>
  </si>
  <si>
    <t>FD-101 (Done)</t>
  </si>
  <si>
    <t>Vibrating feeder + hopper</t>
  </si>
  <si>
    <t>t/hr</t>
  </si>
  <si>
    <t>Belt/Feeder (Carbon steel)</t>
  </si>
  <si>
    <t>CR-101 (Done)</t>
  </si>
  <si>
    <t>Jaw Crusher</t>
  </si>
  <si>
    <t>kW</t>
  </si>
  <si>
    <t>Hadfield manganese steel</t>
  </si>
  <si>
    <t>CV-101 (Done)**</t>
  </si>
  <si>
    <t>Belt Conveyor (enclosed)</t>
  </si>
  <si>
    <t>m, 0.76 t/hr</t>
  </si>
  <si>
    <t>Rubber belt, CS frame</t>
  </si>
  <si>
    <t>BN-101 (Done}</t>
  </si>
  <si>
    <t>Day Bin (crushed ore)</t>
  </si>
  <si>
    <t>m³</t>
  </si>
  <si>
    <t>Carbon steel</t>
  </si>
  <si>
    <t>FD-201 (Done)</t>
  </si>
  <si>
    <t>Screw Feeder</t>
  </si>
  <si>
    <t>m²</t>
  </si>
  <si>
    <t>CS, compact</t>
  </si>
  <si>
    <t>https://abchansenafrica.co.za/wp/product/trough-augers/</t>
  </si>
  <si>
    <t>RK-201 (Done)</t>
  </si>
  <si>
    <t>Counter-current Rotary Kiln</t>
  </si>
  <si>
    <t>Incoloy alloy shell</t>
  </si>
  <si>
    <t>BR-201 (Done)</t>
  </si>
  <si>
    <t>Kiln Burner</t>
  </si>
  <si>
    <t>kW thermal</t>
  </si>
  <si>
    <t>Industrial burner</t>
  </si>
  <si>
    <t>https://dir.indiamart.com/impcat/industrial-gas-burner.html</t>
  </si>
  <si>
    <t>E-201</t>
  </si>
  <si>
    <t>Gas-Gas Air Preheater</t>
  </si>
  <si>
    <t>High-temp SS</t>
  </si>
  <si>
    <t>CL-201</t>
  </si>
  <si>
    <t>Rotary Tube Cooler</t>
  </si>
  <si>
    <t>Incoloy 800H tubes</t>
  </si>
  <si>
    <t>CV-201</t>
  </si>
  <si>
    <t>Drag Conveyor</t>
  </si>
  <si>
    <t>CS with abrasion plates</t>
  </si>
  <si>
    <t>E-301</t>
  </si>
  <si>
    <t>Waste Heat Boiler</t>
  </si>
  <si>
    <t>CS shell</t>
  </si>
  <si>
    <t>CY-301</t>
  </si>
  <si>
    <t>Cyclone Separator</t>
  </si>
  <si>
    <t>m dia</t>
  </si>
  <si>
    <t>Standard CS</t>
  </si>
  <si>
    <t>CL-301</t>
  </si>
  <si>
    <t>Evaporative Cooler</t>
  </si>
  <si>
    <t>kW duty</t>
  </si>
  <si>
    <t>BH-301</t>
  </si>
  <si>
    <t>Pulse-Jet Baghouse</t>
  </si>
  <si>
    <t>cells x 6 bags</t>
  </si>
  <si>
    <t>Ceramic candles</t>
  </si>
  <si>
    <t>FN-301</t>
  </si>
  <si>
    <t>Induced Draft Fan</t>
  </si>
  <si>
    <t>CS standard</t>
  </si>
  <si>
    <t>SC-301</t>
  </si>
  <si>
    <t>Emergency Wet Scrubber</t>
  </si>
  <si>
    <t>mm dia</t>
  </si>
  <si>
    <t>FRP shell</t>
  </si>
  <si>
    <t>ST-301</t>
  </si>
  <si>
    <t>Atmospheric Stack</t>
  </si>
  <si>
    <t>m</t>
  </si>
  <si>
    <t>CS</t>
  </si>
  <si>
    <t>MS-401</t>
  </si>
  <si>
    <t>HIMS Drum Separator</t>
  </si>
  <si>
    <t>t/hr feed</t>
  </si>
  <si>
    <t>316L SS</t>
  </si>
  <si>
    <t>CV-401</t>
  </si>
  <si>
    <t>Non-mag belt conveyor</t>
  </si>
  <si>
    <t>CS frame</t>
  </si>
  <si>
    <t>CV-402</t>
  </si>
  <si>
    <t>Mag belt conveyor</t>
  </si>
  <si>
    <t>BN-401</t>
  </si>
  <si>
    <t>Magnetite Storage Silo</t>
  </si>
  <si>
    <t>BN-501</t>
  </si>
  <si>
    <t>Alumina Feed Bin</t>
  </si>
  <si>
    <t>FD-501</t>
  </si>
  <si>
    <t>Weight Belt Feeder</t>
  </si>
  <si>
    <t>TK-501</t>
  </si>
  <si>
    <t>Slurry Make-up Tank</t>
  </si>
  <si>
    <t>FRP vinyl ester</t>
  </si>
  <si>
    <t>P-501 (Done)</t>
  </si>
  <si>
    <t>Ball Mill Feed Pump</t>
  </si>
  <si>
    <t>m³/hr</t>
  </si>
  <si>
    <t>Rubber-lined</t>
  </si>
  <si>
    <t>ML-501 (Done)</t>
  </si>
  <si>
    <t>Ball Mill</t>
  </si>
  <si>
    <t>kW motor</t>
  </si>
  <si>
    <t>High Chomium Cast Iron</t>
  </si>
  <si>
    <t>P-502 (Done)</t>
  </si>
  <si>
    <t>Mill Discharge Pump</t>
  </si>
  <si>
    <t>HC-501</t>
  </si>
  <si>
    <t>Hydrocyclone Cluster</t>
  </si>
  <si>
    <t>x 0.30 m dia</t>
  </si>
  <si>
    <t>Polyurethane lined</t>
  </si>
  <si>
    <t>TK-601</t>
  </si>
  <si>
    <t>HCl Storage Tank</t>
  </si>
  <si>
    <t>FRP + PE liner</t>
  </si>
  <si>
    <t>P-601 (Done)</t>
  </si>
  <si>
    <t>HCl Dosing Pump</t>
  </si>
  <si>
    <t>PTFE mag-drive</t>
  </si>
  <si>
    <t>R-601 (Done)</t>
  </si>
  <si>
    <t>Leach Reactor Train (Done)</t>
  </si>
  <si>
    <t>Borosilicate Enamel lining, Carbon Steel exterior</t>
  </si>
  <si>
    <t>SC-601</t>
  </si>
  <si>
    <t>HCl Scrubber</t>
  </si>
  <si>
    <t>CPVC shell</t>
  </si>
  <si>
    <t>P-602 (Done)</t>
  </si>
  <si>
    <t>Leach Slurry Pump</t>
  </si>
  <si>
    <t>FP-601 (Done)</t>
  </si>
  <si>
    <t>High-Pressure Filter Press</t>
  </si>
  <si>
    <t>PP filter plates</t>
  </si>
  <si>
    <t>CV-601</t>
  </si>
  <si>
    <t>Filter Cake Conveyor</t>
  </si>
  <si>
    <t>BN-601</t>
  </si>
  <si>
    <t>Residue Silo</t>
  </si>
  <si>
    <t>TK-602</t>
  </si>
  <si>
    <t>PLP Holding Tank</t>
  </si>
  <si>
    <t>TK-701</t>
  </si>
  <si>
    <t>CaAl₂O₄ Make-up Tank</t>
  </si>
  <si>
    <t>FRP</t>
  </si>
  <si>
    <t>R-701 (Done)</t>
  </si>
  <si>
    <t>Basification Reactor</t>
  </si>
  <si>
    <t>FP-701 (Done)</t>
  </si>
  <si>
    <t>Clarification Filter</t>
  </si>
  <si>
    <t>high-density polypropylene (HDPP) filter plates</t>
  </si>
  <si>
    <t>R-702 (Done)</t>
  </si>
  <si>
    <t>Polymerisation Reactor</t>
  </si>
  <si>
    <t>https://www.moglix.com/gmm-pfaudler-8kl-glass-line-reactor-with-ms-jacket-final-advance/mp/msn457mex7rq9j</t>
  </si>
  <si>
    <t>E-701</t>
  </si>
  <si>
    <t>Product Cooler</t>
  </si>
  <si>
    <t>Impervious graphite</t>
  </si>
  <si>
    <t>TK-702</t>
  </si>
  <si>
    <t>PAC Storage Tanks</t>
  </si>
  <si>
    <t>x 50 m³</t>
  </si>
  <si>
    <t>FRP filament-wound</t>
  </si>
  <si>
    <t>HX-102 (Done)</t>
  </si>
  <si>
    <t>Gas-Gas Preheater</t>
  </si>
  <si>
    <t>Stainless Steel (representing 304H for costing)</t>
  </si>
  <si>
    <t>HX-103 (Done)</t>
  </si>
  <si>
    <t>Gas-Water Recovery</t>
  </si>
  <si>
    <t>CS/CS</t>
  </si>
  <si>
    <t>HX-201 (Done)</t>
  </si>
  <si>
    <t>Acid Preheater</t>
  </si>
  <si>
    <t>SS shell and tube was used for approx.(absence of PTFE lined CS)</t>
  </si>
  <si>
    <t>HX-601 (Done)</t>
  </si>
  <si>
    <t>Slurry Preheater</t>
  </si>
  <si>
    <t>CS shell / SS 316 tube</t>
  </si>
  <si>
    <t>HX-203 (Done) **</t>
  </si>
  <si>
    <t>Post-Leach Cooler</t>
  </si>
  <si>
    <t>Silicon carbide</t>
  </si>
  <si>
    <t>P-101</t>
  </si>
  <si>
    <t>Process Water Pump</t>
  </si>
  <si>
    <t>P-201</t>
  </si>
  <si>
    <t>HCl Feed Pump</t>
  </si>
  <si>
    <t>PTFE/PFA</t>
  </si>
  <si>
    <t>CP-101</t>
  </si>
  <si>
    <t>Air Compressor</t>
  </si>
  <si>
    <t>V-201</t>
  </si>
  <si>
    <t>Pressure Letdown Valve</t>
  </si>
  <si>
    <t>atm</t>
  </si>
  <si>
    <t>PTFE body</t>
  </si>
  <si>
    <t>H-101</t>
  </si>
  <si>
    <t>Feed Hopper</t>
  </si>
  <si>
    <t>H-301</t>
  </si>
  <si>
    <t>CaAl₂O₄ Hopper</t>
  </si>
  <si>
    <t>TK-101</t>
  </si>
  <si>
    <t>Water Feed Tank</t>
  </si>
  <si>
    <t>TK-103</t>
  </si>
  <si>
    <t>Leach Feed Tank</t>
  </si>
  <si>
    <t>SS-201</t>
  </si>
  <si>
    <t>Flow Splitter</t>
  </si>
  <si>
    <t>kg/hr</t>
  </si>
  <si>
    <t>PTFE-lined</t>
  </si>
  <si>
    <t>MX-101/201</t>
  </si>
  <si>
    <t>Inline Mixers (x2)</t>
  </si>
  <si>
    <t>units</t>
  </si>
  <si>
    <t>TOTAL</t>
  </si>
  <si>
    <t>Bare Module Cost (USGC)</t>
  </si>
  <si>
    <t>FCI</t>
  </si>
  <si>
    <t>Ghana Location Adj.</t>
  </si>
  <si>
    <t>Site Dev / Civil Works</t>
  </si>
  <si>
    <t>5% of C_BM_Ghana</t>
  </si>
  <si>
    <t>Auxiliary Buildings</t>
  </si>
  <si>
    <t>8% of C_BM_Ghana</t>
  </si>
  <si>
    <t>Utilities Infrastructure</t>
  </si>
  <si>
    <t>10% of C_BM_Ghana</t>
  </si>
  <si>
    <t>C_GR</t>
  </si>
  <si>
    <t>Grass-Roots Investment</t>
  </si>
  <si>
    <t>EPC Fee</t>
  </si>
  <si>
    <t>TCI</t>
  </si>
  <si>
    <t>Total FCI</t>
  </si>
  <si>
    <t>Contingency</t>
  </si>
  <si>
    <t>CE Index (2001)</t>
  </si>
  <si>
    <t>CE Index (2026)</t>
  </si>
  <si>
    <t>Days</t>
  </si>
  <si>
    <t>Annual production</t>
  </si>
  <si>
    <t>$/tonne of PAC</t>
  </si>
  <si>
    <t>Gross</t>
  </si>
  <si>
    <t>Direct Expenses</t>
  </si>
  <si>
    <t>CEPCI Ratio</t>
  </si>
  <si>
    <t>Total Capital Investment</t>
  </si>
  <si>
    <t>Working Capital</t>
  </si>
  <si>
    <t>Plant Life: 20 years</t>
  </si>
  <si>
    <t>Domestic Sales</t>
  </si>
  <si>
    <t>Export Sales</t>
  </si>
  <si>
    <t>Total Revenue per tonne of PAC</t>
  </si>
  <si>
    <t>Total OPEX</t>
  </si>
  <si>
    <t>Discounted Cash Flow Rate of Return (DCFRR/IRR)</t>
  </si>
  <si>
    <t>Carbon Monoxide (WAGP)</t>
  </si>
  <si>
    <t>Internal Rate of Return (IRR)</t>
  </si>
  <si>
    <t>20% of (Labor+Maint)</t>
  </si>
  <si>
    <t>PAC Plant Labour Force &amp; Economics Breakdown</t>
  </si>
  <si>
    <t>1. Shift Labour Costs</t>
  </si>
  <si>
    <t>Role</t>
  </si>
  <si>
    <t>Premium Annual Salary (USD)</t>
  </si>
  <si>
    <t>Staff per Shift</t>
  </si>
  <si>
    <t>Total Crews</t>
  </si>
  <si>
    <t>Total Headcount</t>
  </si>
  <si>
    <t>Total Annual Cost (USD)</t>
  </si>
  <si>
    <t>Shift Supervisor</t>
  </si>
  <si>
    <t>DCS / Panel Operator</t>
  </si>
  <si>
    <t>Field Operator</t>
  </si>
  <si>
    <t>Mechanical Fitter</t>
  </si>
  <si>
    <t>Elec / Instrument Tech</t>
  </si>
  <si>
    <t>Lab Analyst</t>
  </si>
  <si>
    <t>HSE Officer</t>
  </si>
  <si>
    <t>Weighbridge Operator</t>
  </si>
  <si>
    <t>Security Guard</t>
  </si>
  <si>
    <t>Subtotal (Shift)</t>
  </si>
  <si>
    <t>2. Day &amp; Administrative Labour Costs</t>
  </si>
  <si>
    <t>Plant Manager</t>
  </si>
  <si>
    <t>Department Managers</t>
  </si>
  <si>
    <t>Engineers</t>
  </si>
  <si>
    <t>Admin/Procurement/HR</t>
  </si>
  <si>
    <t>Day Maintenance Crew</t>
  </si>
  <si>
    <t>General Laborers</t>
  </si>
  <si>
    <t>Subtotal (Admin)</t>
  </si>
  <si>
    <t>3. Total Annual OPEX Contribution</t>
  </si>
  <si>
    <t>Category</t>
  </si>
  <si>
    <t>Headcount</t>
  </si>
  <si>
    <t>Total Shift Labour</t>
  </si>
  <si>
    <t>Total Admin Labour</t>
  </si>
  <si>
    <t>TOTAL LABOUR COST</t>
  </si>
  <si>
    <t>Net Operating Profit After Tax</t>
  </si>
  <si>
    <t>Depreciation Tax Shield</t>
  </si>
  <si>
    <t>Contingency (10%)</t>
  </si>
  <si>
    <t>Alterated</t>
  </si>
  <si>
    <t>Cost of Production</t>
  </si>
  <si>
    <t>Rate of Return (ROR)</t>
  </si>
  <si>
    <t>Discount Rate (WACC) (From African Dev't Bank)</t>
  </si>
  <si>
    <t>Inflation rate</t>
  </si>
  <si>
    <r>
      <t>Location</t>
    </r>
    <r>
      <rPr>
        <sz val="11"/>
        <rFont val="Calibri"/>
        <family val="2"/>
      </rPr>
      <t>: Awaso-Anhwiaso, Ghana</t>
    </r>
  </si>
  <si>
    <t>BASE YEAR PLANT ECONOMIC SUMMARY</t>
  </si>
  <si>
    <t>Discount Rate (WACC) from AfDB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</si>
</sst>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£&quot;#,##0.00;[Red]\-&quot;£&quot;#,##0.00"/>
    <numFmt numFmtId="164" formatCode="\$#,##0"/>
    <numFmt numFmtId="165" formatCode="#,##0.0"/>
    <numFmt numFmtId="166" formatCode="\$#,##0.00"/>
    <numFmt numFmtId="167" formatCode="0.0%"/>
    <numFmt numFmtId="168" formatCode="&quot;$&quot;#,##0.00"/>
    <numFmt numFmtId="169" formatCode="_-[$$-409]* #,##0.00_ ;_-[$$-409]* \-#,##0.00\ ;_-[$$-409]* &quot;-&quot;??_ ;_-@_ "/>
    <numFmt numFmtId="170" formatCode="_-[$GHp/kWh ]* #,##0.00_ ;_-[$GHp/kWh ]* \-#,##0.00\ ;"/>
    <numFmt numFmtId="171" formatCode="_-[$GHp/cum ]* #,##0.00_ ;_-[$GHp/cum ]* \-#,##0.00"/>
    <numFmt numFmtId="172" formatCode="_-[$kWh ]* #,##0.00_ ;_-[$kWh ]* \-#,##0.00\ ;"/>
    <numFmt numFmtId="173" formatCode="_-[$kg/hr ]* #,##0.00_ ;_-[$kg/hr ]* \-#,##0.00\ ;"/>
    <numFmt numFmtId="174" formatCode="&quot;$&quot;#,##0"/>
    <numFmt numFmtId="175" formatCode="0.0"/>
    <numFmt numFmtId="176" formatCode="0.000"/>
    <numFmt numFmtId="177" formatCode="_##,##0.00_ [$TPA ]* ;_-[$kg/hr ]* \-#,##0.00\ 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u/>
      <sz val="10"/>
      <color rgb="FF0000FF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1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164" fontId="1" fillId="0" borderId="0" xfId="0" applyNumberFormat="1" applyFont="1"/>
    <xf numFmtId="0" fontId="10" fillId="0" borderId="0" xfId="0" applyFont="1"/>
    <xf numFmtId="168" fontId="10" fillId="0" borderId="0" xfId="0" applyNumberFormat="1" applyFont="1"/>
    <xf numFmtId="10" fontId="10" fillId="0" borderId="0" xfId="0" applyNumberFormat="1" applyFont="1"/>
    <xf numFmtId="8" fontId="0" fillId="0" borderId="0" xfId="0" applyNumberFormat="1"/>
    <xf numFmtId="169" fontId="0" fillId="0" borderId="0" xfId="0" applyNumberFormat="1"/>
    <xf numFmtId="0" fontId="0" fillId="0" borderId="5" xfId="0" applyBorder="1"/>
    <xf numFmtId="0" fontId="1" fillId="0" borderId="5" xfId="0" applyFont="1" applyBorder="1"/>
    <xf numFmtId="0" fontId="10" fillId="0" borderId="5" xfId="0" applyFont="1" applyBorder="1"/>
    <xf numFmtId="169" fontId="0" fillId="0" borderId="5" xfId="0" applyNumberFormat="1" applyBorder="1"/>
    <xf numFmtId="165" fontId="0" fillId="0" borderId="5" xfId="0" applyNumberFormat="1" applyBorder="1"/>
    <xf numFmtId="165" fontId="1" fillId="0" borderId="5" xfId="0" applyNumberFormat="1" applyFont="1" applyBorder="1"/>
    <xf numFmtId="169" fontId="1" fillId="0" borderId="5" xfId="0" applyNumberFormat="1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0" fillId="0" borderId="5" xfId="0" applyNumberFormat="1" applyBorder="1" applyAlignment="1">
      <alignment vertical="center"/>
    </xf>
    <xf numFmtId="170" fontId="0" fillId="0" borderId="5" xfId="0" applyNumberFormat="1" applyBorder="1"/>
    <xf numFmtId="2" fontId="0" fillId="0" borderId="5" xfId="0" applyNumberFormat="1" applyBorder="1"/>
    <xf numFmtId="171" fontId="0" fillId="0" borderId="5" xfId="0" applyNumberFormat="1" applyBorder="1"/>
    <xf numFmtId="164" fontId="0" fillId="0" borderId="5" xfId="0" applyNumberFormat="1" applyBorder="1"/>
    <xf numFmtId="2" fontId="1" fillId="0" borderId="5" xfId="0" applyNumberFormat="1" applyFont="1" applyBorder="1"/>
    <xf numFmtId="0" fontId="1" fillId="2" borderId="5" xfId="0" applyFont="1" applyFill="1" applyBorder="1" applyAlignment="1">
      <alignment vertical="center" wrapText="1"/>
    </xf>
    <xf numFmtId="10" fontId="0" fillId="0" borderId="5" xfId="0" applyNumberFormat="1" applyBorder="1"/>
    <xf numFmtId="172" fontId="0" fillId="0" borderId="0" xfId="0" applyNumberFormat="1"/>
    <xf numFmtId="173" fontId="0" fillId="0" borderId="0" xfId="0" applyNumberFormat="1"/>
    <xf numFmtId="10" fontId="1" fillId="0" borderId="0" xfId="0" applyNumberFormat="1" applyFont="1"/>
    <xf numFmtId="0" fontId="12" fillId="4" borderId="0" xfId="0" applyFont="1" applyFill="1"/>
    <xf numFmtId="174" fontId="0" fillId="0" borderId="0" xfId="0" applyNumberFormat="1"/>
    <xf numFmtId="174" fontId="10" fillId="0" borderId="0" xfId="0" applyNumberFormat="1" applyFont="1"/>
    <xf numFmtId="169" fontId="8" fillId="0" borderId="0" xfId="0" applyNumberFormat="1" applyFont="1"/>
    <xf numFmtId="2" fontId="6" fillId="0" borderId="0" xfId="0" applyNumberFormat="1" applyFont="1" applyAlignment="1">
      <alignment horizontal="right"/>
    </xf>
    <xf numFmtId="2" fontId="4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2" fontId="6" fillId="0" borderId="0" xfId="0" applyNumberFormat="1" applyFont="1"/>
    <xf numFmtId="175" fontId="0" fillId="0" borderId="0" xfId="0" applyNumberFormat="1"/>
    <xf numFmtId="2" fontId="7" fillId="0" borderId="0" xfId="0" applyNumberFormat="1" applyFont="1"/>
    <xf numFmtId="2" fontId="8" fillId="0" borderId="0" xfId="0" applyNumberFormat="1" applyFont="1"/>
    <xf numFmtId="2" fontId="8" fillId="0" borderId="0" xfId="0" applyNumberFormat="1" applyFont="1" applyAlignment="1">
      <alignment horizontal="right"/>
    </xf>
    <xf numFmtId="2" fontId="9" fillId="0" borderId="0" xfId="0" applyNumberFormat="1" applyFont="1"/>
    <xf numFmtId="2" fontId="1" fillId="0" borderId="0" xfId="0" applyNumberFormat="1" applyFont="1"/>
    <xf numFmtId="9" fontId="0" fillId="0" borderId="0" xfId="1" applyFont="1" applyBorder="1" applyAlignment="1">
      <alignment horizontal="left"/>
    </xf>
    <xf numFmtId="169" fontId="0" fillId="0" borderId="5" xfId="0" applyNumberFormat="1" applyBorder="1" applyAlignment="1">
      <alignment horizontal="right"/>
    </xf>
    <xf numFmtId="169" fontId="0" fillId="0" borderId="0" xfId="0" applyNumberForma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0" fillId="0" borderId="5" xfId="0" applyBorder="1" applyAlignment="1">
      <alignment horizontal="left" vertical="center"/>
    </xf>
    <xf numFmtId="0" fontId="1" fillId="0" borderId="5" xfId="0" applyFont="1" applyBorder="1"/>
    <xf numFmtId="0" fontId="0" fillId="0" borderId="5" xfId="0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8" xfId="0" applyFont="1" applyBorder="1"/>
    <xf numFmtId="0" fontId="0" fillId="0" borderId="5" xfId="0" applyBorder="1" applyAlignment="1">
      <alignment horizontal="left"/>
    </xf>
    <xf numFmtId="177" fontId="0" fillId="0" borderId="3" xfId="0" applyNumberFormat="1" applyBorder="1" applyAlignment="1">
      <alignment horizontal="left"/>
    </xf>
    <xf numFmtId="177" fontId="0" fillId="0" borderId="4" xfId="0" applyNumberFormat="1" applyBorder="1" applyAlignment="1">
      <alignment horizontal="left"/>
    </xf>
    <xf numFmtId="0" fontId="1" fillId="3" borderId="5" xfId="0" applyFont="1" applyFill="1" applyBorder="1" applyAlignment="1">
      <alignment horizontal="center" vertical="center" wrapText="1"/>
    </xf>
    <xf numFmtId="9" fontId="0" fillId="0" borderId="3" xfId="1" applyFont="1" applyBorder="1" applyAlignment="1">
      <alignment horizontal="left"/>
    </xf>
    <xf numFmtId="9" fontId="0" fillId="0" borderId="4" xfId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3" xfId="0" applyBorder="1"/>
    <xf numFmtId="0" fontId="0" fillId="0" borderId="4" xfId="0" applyBorder="1"/>
    <xf numFmtId="176" fontId="0" fillId="0" borderId="3" xfId="0" applyNumberFormat="1" applyBorder="1" applyAlignment="1">
      <alignment horizontal="left"/>
    </xf>
    <xf numFmtId="176" fontId="0" fillId="0" borderId="4" xfId="0" applyNumberForma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600"/>
              <a:t>Actual Project Cash Flow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CashFlow!$A$67</c:f>
              <c:strCache>
                <c:ptCount val="1"/>
                <c:pt idx="0">
                  <c:v>Cash Flow (Million USD)</c:v>
                </c:pt>
              </c:strCache>
            </c:strRef>
          </c:tx>
          <c:spPr>
            <a:pattFill prst="pct25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CashFlow!$B$66:$X$66</c:f>
              <c:numCache>
                <c:formatCode>General</c:formatCode>
                <c:ptCount val="23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</c:numCache>
            </c:numRef>
          </c:cat>
          <c:val>
            <c:numRef>
              <c:f>CashFlow!$B$67:$X$67</c:f>
              <c:numCache>
                <c:formatCode>_-[$$-409]* #,##0.00_ ;_-[$$-409]* \-#,##0.00\ ;_-[$$-409]* "-"??_ ;_-@_ </c:formatCode>
                <c:ptCount val="23"/>
                <c:pt idx="0">
                  <c:v>-5.9840197990305874</c:v>
                </c:pt>
                <c:pt idx="1">
                  <c:v>-9.9733663317176457</c:v>
                </c:pt>
                <c:pt idx="2">
                  <c:v>-3.9893465326870587</c:v>
                </c:pt>
                <c:pt idx="3">
                  <c:v>1.3514406266840417</c:v>
                </c:pt>
                <c:pt idx="4">
                  <c:v>2.7247024268139963</c:v>
                </c:pt>
                <c:pt idx="5">
                  <c:v>3.9370227826383601</c:v>
                </c:pt>
                <c:pt idx="6">
                  <c:v>4.0723165264062953</c:v>
                </c:pt>
                <c:pt idx="7">
                  <c:v>4.2130220199249466</c:v>
                </c:pt>
                <c:pt idx="8">
                  <c:v>3.8567672262443309</c:v>
                </c:pt>
                <c:pt idx="9">
                  <c:v>4.0089542880341016</c:v>
                </c:pt>
                <c:pt idx="10">
                  <c:v>4.1672288322954643</c:v>
                </c:pt>
                <c:pt idx="11">
                  <c:v>4.331834358327284</c:v>
                </c:pt>
                <c:pt idx="12">
                  <c:v>4.5030241054003755</c:v>
                </c:pt>
                <c:pt idx="13">
                  <c:v>4.2959736792439989</c:v>
                </c:pt>
                <c:pt idx="14">
                  <c:v>4.4657289991537574</c:v>
                </c:pt>
                <c:pt idx="15">
                  <c:v>4.2257636072775364</c:v>
                </c:pt>
                <c:pt idx="16">
                  <c:v>4.3927105243086482</c:v>
                </c:pt>
                <c:pt idx="17">
                  <c:v>4.5663353180209896</c:v>
                </c:pt>
                <c:pt idx="18">
                  <c:v>4.7469051034818293</c:v>
                </c:pt>
                <c:pt idx="19">
                  <c:v>4.9346976803611016</c:v>
                </c:pt>
                <c:pt idx="20">
                  <c:v>5.1300019603155471</c:v>
                </c:pt>
                <c:pt idx="21">
                  <c:v>5.3331184114681687</c:v>
                </c:pt>
                <c:pt idx="22">
                  <c:v>8.7996708039882012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0-426A-AC28-E4B6EF421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strRef>
              <c:f>CashFlow!$A$68</c:f>
              <c:strCache>
                <c:ptCount val="1"/>
                <c:pt idx="0">
                  <c:v>Cumulative Cash Flow (Million USD)</c:v>
                </c:pt>
              </c:strCache>
            </c:strRef>
          </c:tx>
          <c:spPr>
            <a:ln w="28575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prstDash val="solid"/>
              </a:ln>
            </c:spPr>
          </c:marker>
          <c:cat>
            <c:numRef>
              <c:f>'[1]Cash Flow'!$B$34:$U$34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CashFlow!$B$68:$X$68</c:f>
              <c:numCache>
                <c:formatCode>_-[$$-409]* #,##0.00_ ;_-[$$-409]* \-#,##0.00\ ;_-[$$-409]* "-"??_ ;_-@_ </c:formatCode>
                <c:ptCount val="23"/>
                <c:pt idx="0">
                  <c:v>-5.9840197990305874</c:v>
                </c:pt>
                <c:pt idx="1">
                  <c:v>-15.957386130748233</c:v>
                </c:pt>
                <c:pt idx="2">
                  <c:v>-19.946732663435291</c:v>
                </c:pt>
                <c:pt idx="3">
                  <c:v>-18.59529203675125</c:v>
                </c:pt>
                <c:pt idx="4">
                  <c:v>-15.870589609937253</c:v>
                </c:pt>
                <c:pt idx="5">
                  <c:v>-11.933566827298893</c:v>
                </c:pt>
                <c:pt idx="6">
                  <c:v>-7.861250300892598</c:v>
                </c:pt>
                <c:pt idx="7">
                  <c:v>-3.6482282809676514</c:v>
                </c:pt>
                <c:pt idx="8">
                  <c:v>0.20853894527667949</c:v>
                </c:pt>
                <c:pt idx="9">
                  <c:v>4.2174932333107815</c:v>
                </c:pt>
                <c:pt idx="10">
                  <c:v>8.3847220656062458</c:v>
                </c:pt>
                <c:pt idx="11">
                  <c:v>12.716556423933529</c:v>
                </c:pt>
                <c:pt idx="12">
                  <c:v>17.219580529333903</c:v>
                </c:pt>
                <c:pt idx="13">
                  <c:v>21.515554208577903</c:v>
                </c:pt>
                <c:pt idx="14">
                  <c:v>25.981283207731661</c:v>
                </c:pt>
                <c:pt idx="15">
                  <c:v>30.207046815009196</c:v>
                </c:pt>
                <c:pt idx="16">
                  <c:v>34.599757339317847</c:v>
                </c:pt>
                <c:pt idx="17">
                  <c:v>39.166092657338837</c:v>
                </c:pt>
                <c:pt idx="18">
                  <c:v>43.912997760820666</c:v>
                </c:pt>
                <c:pt idx="19">
                  <c:v>48.84769544118177</c:v>
                </c:pt>
                <c:pt idx="20">
                  <c:v>53.977697401497316</c:v>
                </c:pt>
                <c:pt idx="21">
                  <c:v>59.310815812965487</c:v>
                </c:pt>
                <c:pt idx="22">
                  <c:v>68.110486616953693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A0-426A-AC28-E4B6EF421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 Cash Flow (Million $)</a:t>
                </a:r>
              </a:p>
            </c:rich>
          </c:tx>
          <c:overlay val="0"/>
        </c:title>
        <c:numFmt formatCode="[$$-409]#,##0.00" sourceLinked="0"/>
        <c:majorTickMark val="out"/>
        <c:minorTickMark val="out"/>
        <c:tickLblPos val="nextTo"/>
        <c:spPr>
          <a:ln>
            <a:prstDash val="solid"/>
          </a:ln>
        </c:spPr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Actual Project Cash Flow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CashFlow!$A$67</c:f>
              <c:strCache>
                <c:ptCount val="1"/>
                <c:pt idx="0">
                  <c:v>Cash Flow (Million USD)</c:v>
                </c:pt>
              </c:strCache>
            </c:strRef>
          </c:tx>
          <c:spPr>
            <a:pattFill prst="pct25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CashFlow!$B$66:$X$66</c:f>
              <c:numCache>
                <c:formatCode>General</c:formatCode>
                <c:ptCount val="23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</c:numCache>
            </c:numRef>
          </c:cat>
          <c:val>
            <c:numRef>
              <c:f>CashFlow!$B$67:$X$67</c:f>
              <c:numCache>
                <c:formatCode>_-[$$-409]* #,##0.00_ ;_-[$$-409]* \-#,##0.00\ ;_-[$$-409]* "-"??_ ;_-@_ </c:formatCode>
                <c:ptCount val="23"/>
                <c:pt idx="0">
                  <c:v>-5.9840197990305874</c:v>
                </c:pt>
                <c:pt idx="1">
                  <c:v>-9.9733663317176457</c:v>
                </c:pt>
                <c:pt idx="2">
                  <c:v>-3.9893465326870587</c:v>
                </c:pt>
                <c:pt idx="3">
                  <c:v>1.3514406266840417</c:v>
                </c:pt>
                <c:pt idx="4">
                  <c:v>2.7247024268139963</c:v>
                </c:pt>
                <c:pt idx="5">
                  <c:v>3.9370227826383601</c:v>
                </c:pt>
                <c:pt idx="6">
                  <c:v>4.0723165264062953</c:v>
                </c:pt>
                <c:pt idx="7">
                  <c:v>4.2130220199249466</c:v>
                </c:pt>
                <c:pt idx="8">
                  <c:v>3.8567672262443309</c:v>
                </c:pt>
                <c:pt idx="9">
                  <c:v>4.0089542880341016</c:v>
                </c:pt>
                <c:pt idx="10">
                  <c:v>4.1672288322954643</c:v>
                </c:pt>
                <c:pt idx="11">
                  <c:v>4.331834358327284</c:v>
                </c:pt>
                <c:pt idx="12">
                  <c:v>4.5030241054003755</c:v>
                </c:pt>
                <c:pt idx="13">
                  <c:v>4.2959736792439989</c:v>
                </c:pt>
                <c:pt idx="14">
                  <c:v>4.4657289991537574</c:v>
                </c:pt>
                <c:pt idx="15">
                  <c:v>4.2257636072775364</c:v>
                </c:pt>
                <c:pt idx="16">
                  <c:v>4.3927105243086482</c:v>
                </c:pt>
                <c:pt idx="17">
                  <c:v>4.5663353180209896</c:v>
                </c:pt>
                <c:pt idx="18">
                  <c:v>4.7469051034818293</c:v>
                </c:pt>
                <c:pt idx="19">
                  <c:v>4.9346976803611016</c:v>
                </c:pt>
                <c:pt idx="20">
                  <c:v>5.1300019603155471</c:v>
                </c:pt>
                <c:pt idx="21">
                  <c:v>5.3331184114681687</c:v>
                </c:pt>
                <c:pt idx="22">
                  <c:v>8.7996708039882012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F30-B888-07E312ED1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10001"/>
        <c:axId val="50010002"/>
      </c:barChart>
      <c:lineChart>
        <c:grouping val="standard"/>
        <c:varyColors val="0"/>
        <c:ser>
          <c:idx val="1"/>
          <c:order val="1"/>
          <c:tx>
            <c:strRef>
              <c:f>CashFlow!$A$68</c:f>
              <c:strCache>
                <c:ptCount val="1"/>
                <c:pt idx="0">
                  <c:v>Cumulative Cash Flow (Million USD)</c:v>
                </c:pt>
              </c:strCache>
            </c:strRef>
          </c:tx>
          <c:spPr>
            <a:ln w="28575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prstDash val="solid"/>
              </a:ln>
            </c:spPr>
          </c:marker>
          <c:cat>
            <c:numRef>
              <c:f>'[1]Cash Flow'!$B$34:$U$34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CashFlow!$B$68:$X$68</c:f>
              <c:numCache>
                <c:formatCode>_-[$$-409]* #,##0.00_ ;_-[$$-409]* \-#,##0.00\ ;_-[$$-409]* "-"??_ ;_-@_ </c:formatCode>
                <c:ptCount val="23"/>
                <c:pt idx="0">
                  <c:v>-5.9840197990305874</c:v>
                </c:pt>
                <c:pt idx="1">
                  <c:v>-15.957386130748233</c:v>
                </c:pt>
                <c:pt idx="2">
                  <c:v>-19.946732663435291</c:v>
                </c:pt>
                <c:pt idx="3">
                  <c:v>-18.59529203675125</c:v>
                </c:pt>
                <c:pt idx="4">
                  <c:v>-15.870589609937253</c:v>
                </c:pt>
                <c:pt idx="5">
                  <c:v>-11.933566827298893</c:v>
                </c:pt>
                <c:pt idx="6">
                  <c:v>-7.861250300892598</c:v>
                </c:pt>
                <c:pt idx="7">
                  <c:v>-3.6482282809676514</c:v>
                </c:pt>
                <c:pt idx="8">
                  <c:v>0.20853894527667949</c:v>
                </c:pt>
                <c:pt idx="9">
                  <c:v>4.2174932333107815</c:v>
                </c:pt>
                <c:pt idx="10">
                  <c:v>8.3847220656062458</c:v>
                </c:pt>
                <c:pt idx="11">
                  <c:v>12.716556423933529</c:v>
                </c:pt>
                <c:pt idx="12">
                  <c:v>17.219580529333903</c:v>
                </c:pt>
                <c:pt idx="13">
                  <c:v>21.515554208577903</c:v>
                </c:pt>
                <c:pt idx="14">
                  <c:v>25.981283207731661</c:v>
                </c:pt>
                <c:pt idx="15">
                  <c:v>30.207046815009196</c:v>
                </c:pt>
                <c:pt idx="16">
                  <c:v>34.599757339317847</c:v>
                </c:pt>
                <c:pt idx="17">
                  <c:v>39.166092657338837</c:v>
                </c:pt>
                <c:pt idx="18">
                  <c:v>43.912997760820666</c:v>
                </c:pt>
                <c:pt idx="19">
                  <c:v>48.84769544118177</c:v>
                </c:pt>
                <c:pt idx="20">
                  <c:v>53.977697401497316</c:v>
                </c:pt>
                <c:pt idx="21">
                  <c:v>59.310815812965487</c:v>
                </c:pt>
                <c:pt idx="22">
                  <c:v>68.110486616953693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61-4F30-B888-07E312ED1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Sora" pitchFamily="2" charset="0"/>
                    <a:cs typeface="Sora" pitchFamily="2" charset="0"/>
                  </a:defRPr>
                </a:pPr>
                <a:r>
                  <a:rPr lang="en-US" sz="1200">
                    <a:latin typeface="Sora" pitchFamily="2" charset="0"/>
                    <a:cs typeface="Sora" pitchFamily="2" charset="0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>
                    <a:latin typeface="Sora" pitchFamily="2" charset="0"/>
                    <a:cs typeface="Sora" pitchFamily="2" charset="0"/>
                  </a:defRPr>
                </a:pPr>
                <a:r>
                  <a:rPr lang="en-US" sz="1200">
                    <a:latin typeface="Sora" pitchFamily="2" charset="0"/>
                    <a:cs typeface="Sora" pitchFamily="2" charset="0"/>
                  </a:rPr>
                  <a:t>Annual Cash Flow (Million $)</a:t>
                </a:r>
              </a:p>
            </c:rich>
          </c:tx>
          <c:overlay val="0"/>
        </c:title>
        <c:numFmt formatCode="[$$-409]#,##0.00" sourceLinked="0"/>
        <c:majorTickMark val="out"/>
        <c:minorTickMark val="out"/>
        <c:tickLblPos val="nextTo"/>
        <c:spPr>
          <a:ln>
            <a:prstDash val="solid"/>
          </a:ln>
        </c:sp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Sora" pitchFamily="2" charset="0"/>
              <a:cs typeface="Sora" pitchFamily="2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259313</xdr:colOff>
      <xdr:row>4</xdr:row>
      <xdr:rowOff>133093</xdr:rowOff>
    </xdr:from>
    <xdr:to>
      <xdr:col>24</xdr:col>
      <xdr:colOff>202143</xdr:colOff>
      <xdr:row>29</xdr:row>
      <xdr:rowOff>105383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28184</xdr:colOff>
      <xdr:row>44</xdr:row>
      <xdr:rowOff>163430</xdr:rowOff>
    </xdr:from>
    <xdr:to>
      <xdr:col>7</xdr:col>
      <xdr:colOff>18892</xdr:colOff>
      <xdr:row>63</xdr:row>
      <xdr:rowOff>154137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F528EA-14DA-4E4E-9B6E-C5640B4C5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</sheetNames>
    <sheetDataSet>
      <sheetData sheetId="0">
        <row r="34">
          <cell r="B34">
            <v>1</v>
          </cell>
          <cell r="C34">
            <v>2</v>
          </cell>
          <cell r="D34">
            <v>3</v>
          </cell>
          <cell r="E34">
            <v>4</v>
          </cell>
          <cell r="F34">
            <v>5</v>
          </cell>
          <cell r="G34">
            <v>6</v>
          </cell>
          <cell r="H34">
            <v>7</v>
          </cell>
          <cell r="I34">
            <v>8</v>
          </cell>
          <cell r="J34">
            <v>9</v>
          </cell>
          <cell r="K34">
            <v>10</v>
          </cell>
          <cell r="L34">
            <v>11</v>
          </cell>
          <cell r="M34">
            <v>12</v>
          </cell>
          <cell r="N34">
            <v>13</v>
          </cell>
          <cell r="O34">
            <v>14</v>
          </cell>
          <cell r="P34">
            <v>15</v>
          </cell>
          <cell r="Q34">
            <v>16</v>
          </cell>
          <cell r="R34">
            <v>17</v>
          </cell>
          <cell r="S34">
            <v>18</v>
          </cell>
          <cell r="T34">
            <v>19</v>
          </cell>
          <cell r="U34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glix.com/gmm-pfaudler-8kl-glass-line-reactor-with-ms-jacket-final-advance/mp/msn457mex7rq9j" TargetMode="External"/><Relationship Id="rId2" Type="http://schemas.openxmlformats.org/officeDocument/2006/relationships/hyperlink" Target="https://dir.indiamart.com/impcat/industrial-gas-burner.html" TargetMode="External"/><Relationship Id="rId1" Type="http://schemas.openxmlformats.org/officeDocument/2006/relationships/hyperlink" Target="https://abchansenafrica.co.za/wp/product/trough-auger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opLeftCell="A51" zoomScale="115" zoomScaleNormal="141" workbookViewId="0">
      <selection activeCell="B55" sqref="B55"/>
    </sheetView>
  </sheetViews>
  <sheetFormatPr defaultRowHeight="14.4" x14ac:dyDescent="0.3"/>
  <cols>
    <col min="1" max="1" width="45.33203125" customWidth="1"/>
    <col min="2" max="2" width="16.109375" customWidth="1"/>
    <col min="3" max="6" width="14.6640625" customWidth="1"/>
    <col min="7" max="7" width="30.6640625" customWidth="1"/>
    <col min="8" max="8" width="13.109375" customWidth="1"/>
    <col min="9" max="10" width="12.6640625" customWidth="1"/>
    <col min="11" max="11" width="15.6640625" customWidth="1"/>
    <col min="12" max="21" width="14.6640625" customWidth="1"/>
    <col min="22" max="22" width="12.88671875" customWidth="1"/>
    <col min="23" max="23" width="12" customWidth="1"/>
    <col min="24" max="24" width="13.33203125" customWidth="1"/>
  </cols>
  <sheetData>
    <row r="1" spans="1:24" ht="18" customHeight="1" x14ac:dyDescent="0.3">
      <c r="A1" s="91" t="s">
        <v>13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</row>
    <row r="3" spans="1:24" x14ac:dyDescent="0.3">
      <c r="A3" s="1" t="s">
        <v>14</v>
      </c>
    </row>
    <row r="4" spans="1:24" x14ac:dyDescent="0.3">
      <c r="A4" t="s">
        <v>15</v>
      </c>
      <c r="B4">
        <v>7920</v>
      </c>
      <c r="G4" s="1" t="s">
        <v>16</v>
      </c>
      <c r="M4" s="1" t="s">
        <v>17</v>
      </c>
    </row>
    <row r="5" spans="1:24" x14ac:dyDescent="0.3">
      <c r="A5" t="s">
        <v>18</v>
      </c>
      <c r="B5" s="2">
        <f>CAPEX!P64</f>
        <v>13402360.18506705</v>
      </c>
      <c r="G5" s="3" t="s">
        <v>19</v>
      </c>
      <c r="M5" t="s">
        <v>20</v>
      </c>
      <c r="N5" s="2">
        <f>-$B$10*0.3</f>
        <v>-5984019.7990305871</v>
      </c>
    </row>
    <row r="6" spans="1:24" ht="28.8" customHeight="1" x14ac:dyDescent="0.3">
      <c r="A6" t="s">
        <v>21</v>
      </c>
      <c r="B6" s="2">
        <f>0.15*CAPEX!P64</f>
        <v>2010354.0277600575</v>
      </c>
      <c r="G6" s="4" t="s">
        <v>22</v>
      </c>
      <c r="H6" s="4" t="s">
        <v>23</v>
      </c>
      <c r="I6" s="4" t="s">
        <v>24</v>
      </c>
      <c r="J6" s="4" t="s">
        <v>25</v>
      </c>
      <c r="K6" s="4" t="s">
        <v>26</v>
      </c>
      <c r="M6" t="s">
        <v>27</v>
      </c>
      <c r="N6" s="2">
        <f>-$B$10*0.5</f>
        <v>-9973366.3317176457</v>
      </c>
    </row>
    <row r="7" spans="1:24" x14ac:dyDescent="0.3">
      <c r="A7" s="12" t="s">
        <v>28</v>
      </c>
      <c r="B7" s="48">
        <f>SUM(CAPEX!P64:P67)</f>
        <v>16484903.027632473</v>
      </c>
      <c r="D7" s="10"/>
      <c r="E7" s="11"/>
      <c r="G7" t="s">
        <v>4</v>
      </c>
      <c r="H7" s="5">
        <v>755.99</v>
      </c>
      <c r="I7" s="5">
        <f>H7*$B$4/1000</f>
        <v>5987.4407999999994</v>
      </c>
      <c r="J7" s="6">
        <v>35</v>
      </c>
      <c r="K7" s="15">
        <f>I7*J7</f>
        <v>209560.42799999999</v>
      </c>
      <c r="L7" s="54"/>
      <c r="M7" t="s">
        <v>29</v>
      </c>
      <c r="N7" s="2">
        <f>-$B$10*0.2</f>
        <v>-3989346.5326870587</v>
      </c>
    </row>
    <row r="8" spans="1:24" x14ac:dyDescent="0.3">
      <c r="A8" s="12" t="s">
        <v>30</v>
      </c>
      <c r="B8" s="20">
        <f>0.1*B7</f>
        <v>1648490.3027632474</v>
      </c>
      <c r="D8" s="13"/>
      <c r="E8" s="11"/>
      <c r="G8" t="s">
        <v>5</v>
      </c>
      <c r="H8" s="5">
        <v>2285</v>
      </c>
      <c r="I8" s="5">
        <f>H8*$B$4/1000</f>
        <v>18097.2</v>
      </c>
      <c r="J8" s="6">
        <v>180</v>
      </c>
      <c r="K8" s="15">
        <f>I8*J8</f>
        <v>3257496</v>
      </c>
      <c r="L8" s="54"/>
    </row>
    <row r="9" spans="1:24" x14ac:dyDescent="0.3">
      <c r="A9" s="12" t="s">
        <v>371</v>
      </c>
      <c r="B9" s="20">
        <f>0.1*(B8+B7)</f>
        <v>1813339.3330395722</v>
      </c>
      <c r="D9" s="13"/>
      <c r="E9" s="11"/>
      <c r="G9" t="s">
        <v>6</v>
      </c>
      <c r="H9" s="5">
        <v>650</v>
      </c>
      <c r="I9" s="5">
        <f>H9*$B$4/1000</f>
        <v>5148</v>
      </c>
      <c r="J9" s="6">
        <v>310</v>
      </c>
      <c r="K9" s="15">
        <f>I9*J9</f>
        <v>1595880</v>
      </c>
      <c r="L9" s="54"/>
    </row>
    <row r="10" spans="1:24" x14ac:dyDescent="0.3">
      <c r="A10" s="1" t="s">
        <v>32</v>
      </c>
      <c r="B10" s="15">
        <f>SUM(B7:B9)</f>
        <v>19946732.663435291</v>
      </c>
      <c r="G10" t="s">
        <v>334</v>
      </c>
      <c r="H10" s="5">
        <v>329.25</v>
      </c>
      <c r="I10" s="5">
        <f>H10*$B$4/1000</f>
        <v>2607.66</v>
      </c>
      <c r="J10" s="6">
        <v>450</v>
      </c>
      <c r="K10" s="15">
        <f>I10*J10</f>
        <v>1173447</v>
      </c>
      <c r="L10" s="54"/>
    </row>
    <row r="11" spans="1:24" x14ac:dyDescent="0.3">
      <c r="A11" t="s">
        <v>33</v>
      </c>
      <c r="B11" s="2">
        <v>1244957.25556125</v>
      </c>
      <c r="G11" t="s">
        <v>8</v>
      </c>
      <c r="H11" s="5">
        <v>833.33</v>
      </c>
      <c r="I11" s="5">
        <f>H11*$B$4/1000</f>
        <v>6599.9736000000003</v>
      </c>
      <c r="J11" s="6">
        <v>2.73</v>
      </c>
      <c r="K11" s="15">
        <f>I11*J11</f>
        <v>18017.927928000001</v>
      </c>
      <c r="L11" s="54"/>
    </row>
    <row r="12" spans="1:24" x14ac:dyDescent="0.3">
      <c r="A12" t="s">
        <v>34</v>
      </c>
      <c r="B12">
        <v>20</v>
      </c>
      <c r="K12" s="2">
        <f>SUM(K7:K11)</f>
        <v>6254401.3559279991</v>
      </c>
      <c r="L12" s="54"/>
    </row>
    <row r="13" spans="1:24" x14ac:dyDescent="0.3">
      <c r="A13" t="s">
        <v>35</v>
      </c>
      <c r="B13">
        <v>5</v>
      </c>
      <c r="G13" s="3" t="s">
        <v>36</v>
      </c>
      <c r="L13" s="54"/>
    </row>
    <row r="14" spans="1:24" ht="28.8" customHeight="1" x14ac:dyDescent="0.3">
      <c r="A14" t="s">
        <v>37</v>
      </c>
      <c r="B14" s="7">
        <v>0.1875</v>
      </c>
      <c r="G14" s="4" t="s">
        <v>38</v>
      </c>
      <c r="H14" s="4" t="s">
        <v>39</v>
      </c>
      <c r="I14" s="4" t="s">
        <v>40</v>
      </c>
      <c r="J14" s="4" t="s">
        <v>41</v>
      </c>
      <c r="K14" s="4" t="s">
        <v>26</v>
      </c>
      <c r="L14" s="54"/>
    </row>
    <row r="15" spans="1:24" x14ac:dyDescent="0.3">
      <c r="A15" t="s">
        <v>379</v>
      </c>
      <c r="B15" s="7">
        <v>0.08</v>
      </c>
      <c r="G15" t="s">
        <v>42</v>
      </c>
      <c r="H15" s="42">
        <v>150</v>
      </c>
      <c r="I15" s="5">
        <f>H15*$B$4</f>
        <v>1188000</v>
      </c>
      <c r="J15" s="6">
        <v>0.11</v>
      </c>
      <c r="K15" s="15">
        <f>I15*J15 + 499.720989114411</f>
        <v>131179.7209891144</v>
      </c>
      <c r="L15" s="54"/>
    </row>
    <row r="16" spans="1:24" x14ac:dyDescent="0.3">
      <c r="A16" t="s">
        <v>43</v>
      </c>
      <c r="B16" s="7">
        <v>0.04</v>
      </c>
      <c r="G16" t="s">
        <v>44</v>
      </c>
      <c r="H16" s="43">
        <v>40</v>
      </c>
      <c r="I16" s="5">
        <f>H16*$B$4</f>
        <v>316800</v>
      </c>
      <c r="J16" s="6">
        <v>2.730626150399361</v>
      </c>
      <c r="K16" s="15">
        <f>I16*J16 + 249.860494557205</f>
        <v>865312.22494107473</v>
      </c>
      <c r="L16" s="54"/>
    </row>
    <row r="17" spans="1:12" x14ac:dyDescent="0.3">
      <c r="A17" t="s">
        <v>45</v>
      </c>
      <c r="B17" s="7">
        <v>0.04</v>
      </c>
      <c r="K17" s="2">
        <f>SUM(K15:K16)</f>
        <v>996491.9459301891</v>
      </c>
      <c r="L17" s="54"/>
    </row>
    <row r="18" spans="1:12" x14ac:dyDescent="0.3">
      <c r="A18" t="s">
        <v>46</v>
      </c>
      <c r="B18">
        <v>31384.63</v>
      </c>
      <c r="G18" s="3" t="s">
        <v>47</v>
      </c>
      <c r="L18" s="54"/>
    </row>
    <row r="19" spans="1:12" ht="28.8" customHeight="1" x14ac:dyDescent="0.3">
      <c r="A19" t="s">
        <v>48</v>
      </c>
      <c r="B19">
        <v>4000</v>
      </c>
      <c r="G19" s="4" t="s">
        <v>49</v>
      </c>
      <c r="H19" s="4"/>
      <c r="I19" s="4"/>
      <c r="J19" s="4"/>
      <c r="K19" s="4" t="s">
        <v>26</v>
      </c>
      <c r="L19" s="54"/>
    </row>
    <row r="20" spans="1:12" x14ac:dyDescent="0.3">
      <c r="A20" t="s">
        <v>50</v>
      </c>
      <c r="B20" s="2">
        <v>450</v>
      </c>
      <c r="G20" t="s">
        <v>51</v>
      </c>
      <c r="K20" s="15">
        <v>1230000</v>
      </c>
      <c r="L20" s="54"/>
    </row>
    <row r="21" spans="1:12" x14ac:dyDescent="0.3">
      <c r="A21" t="s">
        <v>52</v>
      </c>
      <c r="B21" s="2">
        <v>480</v>
      </c>
      <c r="G21" t="s">
        <v>53</v>
      </c>
      <c r="K21" s="15">
        <v>180000</v>
      </c>
      <c r="L21" s="54"/>
    </row>
    <row r="22" spans="1:12" x14ac:dyDescent="0.3">
      <c r="L22" s="54"/>
    </row>
    <row r="23" spans="1:12" x14ac:dyDescent="0.3">
      <c r="A23" s="1" t="s">
        <v>54</v>
      </c>
      <c r="G23" s="1" t="s">
        <v>55</v>
      </c>
      <c r="L23" s="54"/>
    </row>
    <row r="24" spans="1:12" ht="28.8" customHeight="1" x14ac:dyDescent="0.3">
      <c r="A24" s="4" t="s">
        <v>56</v>
      </c>
      <c r="B24" s="4" t="s">
        <v>23</v>
      </c>
      <c r="C24" s="4" t="s">
        <v>57</v>
      </c>
      <c r="D24" s="4" t="s">
        <v>25</v>
      </c>
      <c r="E24" s="4" t="s">
        <v>58</v>
      </c>
      <c r="G24" s="4" t="s">
        <v>59</v>
      </c>
      <c r="H24" s="4" t="s">
        <v>60</v>
      </c>
      <c r="I24" s="4"/>
      <c r="J24" s="4"/>
      <c r="K24" s="4" t="s">
        <v>26</v>
      </c>
      <c r="L24" s="54"/>
    </row>
    <row r="25" spans="1:12" x14ac:dyDescent="0.3">
      <c r="A25" t="s">
        <v>9</v>
      </c>
      <c r="B25" s="5">
        <v>260.37</v>
      </c>
      <c r="C25" s="5">
        <f>B25*$B$4/1000</f>
        <v>2062.1304</v>
      </c>
      <c r="D25" s="6">
        <v>20</v>
      </c>
      <c r="E25" s="2">
        <f>C25*D25</f>
        <v>41242.608</v>
      </c>
      <c r="G25" t="s">
        <v>61</v>
      </c>
      <c r="H25" t="s">
        <v>62</v>
      </c>
      <c r="K25" s="15">
        <f>Labour!C30</f>
        <v>822000</v>
      </c>
      <c r="L25" s="54"/>
    </row>
    <row r="26" spans="1:12" x14ac:dyDescent="0.3">
      <c r="A26" t="s">
        <v>10</v>
      </c>
      <c r="B26" s="5">
        <v>57.75</v>
      </c>
      <c r="C26" s="5">
        <f>B26*$B$4/1000</f>
        <v>457.38</v>
      </c>
      <c r="D26" s="6">
        <v>50</v>
      </c>
      <c r="E26" s="2">
        <f>C26*D26</f>
        <v>22869</v>
      </c>
      <c r="G26" t="s">
        <v>12</v>
      </c>
      <c r="H26" t="s">
        <v>63</v>
      </c>
      <c r="K26" s="15">
        <f>$B$5*0.06</f>
        <v>804141.61110402294</v>
      </c>
      <c r="L26" s="54"/>
    </row>
    <row r="27" spans="1:12" x14ac:dyDescent="0.3">
      <c r="A27" s="1" t="s">
        <v>64</v>
      </c>
      <c r="E27" s="8">
        <f>SUM(E25:E26)</f>
        <v>64111.608</v>
      </c>
      <c r="G27" t="s">
        <v>65</v>
      </c>
      <c r="H27" t="s">
        <v>66</v>
      </c>
      <c r="K27" s="15">
        <f>$B$5*0.015</f>
        <v>201035.40277600574</v>
      </c>
      <c r="L27" s="54"/>
    </row>
    <row r="28" spans="1:12" x14ac:dyDescent="0.3">
      <c r="G28" t="s">
        <v>67</v>
      </c>
      <c r="H28" t="s">
        <v>336</v>
      </c>
      <c r="K28" s="15">
        <f>(2109515.52050105+K$26)*0.2</f>
        <v>582731.42632101465</v>
      </c>
      <c r="L28" s="54"/>
    </row>
    <row r="29" spans="1:12" x14ac:dyDescent="0.3">
      <c r="G29" t="s">
        <v>68</v>
      </c>
      <c r="H29" t="s">
        <v>69</v>
      </c>
      <c r="K29" s="15">
        <v>10000</v>
      </c>
      <c r="L29" s="54"/>
    </row>
    <row r="30" spans="1:12" x14ac:dyDescent="0.3">
      <c r="G30" t="s">
        <v>70</v>
      </c>
      <c r="H30" t="s">
        <v>69</v>
      </c>
      <c r="K30" s="15">
        <v>15000</v>
      </c>
      <c r="L30" s="54"/>
    </row>
    <row r="32" spans="1:12" x14ac:dyDescent="0.3">
      <c r="K32" s="2"/>
    </row>
    <row r="34" spans="1:21" x14ac:dyDescent="0.3">
      <c r="A34" s="4" t="s">
        <v>71</v>
      </c>
      <c r="B34" s="4">
        <v>1</v>
      </c>
      <c r="C34" s="4">
        <v>2</v>
      </c>
      <c r="D34" s="4">
        <v>3</v>
      </c>
      <c r="E34" s="4">
        <v>4</v>
      </c>
      <c r="F34" s="4">
        <v>5</v>
      </c>
      <c r="G34" s="4">
        <v>6</v>
      </c>
      <c r="H34" s="4">
        <v>7</v>
      </c>
      <c r="I34" s="4">
        <v>8</v>
      </c>
      <c r="J34" s="4">
        <v>9</v>
      </c>
      <c r="K34" s="4">
        <v>10</v>
      </c>
      <c r="L34" s="4">
        <v>11</v>
      </c>
      <c r="M34" s="4">
        <v>12</v>
      </c>
      <c r="N34" s="4">
        <v>13</v>
      </c>
      <c r="O34" s="4">
        <v>14</v>
      </c>
      <c r="P34" s="4">
        <v>15</v>
      </c>
      <c r="Q34" s="4">
        <v>16</v>
      </c>
      <c r="R34" s="4">
        <v>17</v>
      </c>
      <c r="S34" s="4">
        <v>18</v>
      </c>
      <c r="T34" s="4">
        <v>19</v>
      </c>
      <c r="U34" s="4">
        <v>20</v>
      </c>
    </row>
    <row r="35" spans="1:21" x14ac:dyDescent="0.3">
      <c r="A35" t="s">
        <v>72</v>
      </c>
      <c r="B35" s="7">
        <v>0.6</v>
      </c>
      <c r="C35" s="7">
        <v>0.8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0.95</v>
      </c>
      <c r="M35" s="7">
        <v>0.95</v>
      </c>
      <c r="N35" s="7">
        <v>0.9</v>
      </c>
      <c r="O35" s="7">
        <v>0.9</v>
      </c>
      <c r="P35" s="7">
        <v>0.9</v>
      </c>
      <c r="Q35" s="7">
        <v>0.9</v>
      </c>
      <c r="R35" s="7">
        <v>0.9</v>
      </c>
      <c r="S35" s="7">
        <v>0.9</v>
      </c>
      <c r="T35" s="7">
        <v>0.9</v>
      </c>
      <c r="U35" s="7">
        <v>0.9</v>
      </c>
    </row>
    <row r="36" spans="1:21" x14ac:dyDescent="0.3">
      <c r="A36" s="1" t="s">
        <v>73</v>
      </c>
      <c r="B36" s="8">
        <f t="shared" ref="B36:U36" si="0">MIN($B$19, $B$18*B35)*$B$20*(1+$B$17)^(B$34-1) + ($B$18*B35-MIN($B$19, $B$18*B35))*$B$21*(1+$B$17)^(B$34-1) + $E$27</f>
        <v>8982885.0479999986</v>
      </c>
      <c r="C36" s="8">
        <f t="shared" si="0"/>
        <v>12473077.444799999</v>
      </c>
      <c r="D36" s="8">
        <f t="shared" si="0"/>
        <v>16228215.195840001</v>
      </c>
      <c r="E36" s="8">
        <f t="shared" si="0"/>
        <v>16874779.339353602</v>
      </c>
      <c r="F36" s="8">
        <f t="shared" si="0"/>
        <v>17547206.048607748</v>
      </c>
      <c r="G36" s="8">
        <f t="shared" si="0"/>
        <v>18246529.826232057</v>
      </c>
      <c r="H36" s="8">
        <f t="shared" si="0"/>
        <v>18973826.554961342</v>
      </c>
      <c r="I36" s="8">
        <f t="shared" si="0"/>
        <v>19730215.152839791</v>
      </c>
      <c r="J36" s="8">
        <f t="shared" si="0"/>
        <v>20516859.294633389</v>
      </c>
      <c r="K36" s="8">
        <f t="shared" si="0"/>
        <v>21334969.202098724</v>
      </c>
      <c r="L36" s="8">
        <f t="shared" si="0"/>
        <v>21070837.445260029</v>
      </c>
      <c r="M36" s="8">
        <f t="shared" si="0"/>
        <v>21911106.47875043</v>
      </c>
      <c r="N36" s="8">
        <f t="shared" si="0"/>
        <v>21579038.98243263</v>
      </c>
      <c r="O36" s="8">
        <f t="shared" si="0"/>
        <v>22439636.077409942</v>
      </c>
      <c r="P36" s="8">
        <f t="shared" si="0"/>
        <v>23334657.056186333</v>
      </c>
      <c r="Q36" s="8">
        <f t="shared" si="0"/>
        <v>24265478.874113791</v>
      </c>
      <c r="R36" s="8">
        <f t="shared" si="0"/>
        <v>25233533.564758342</v>
      </c>
      <c r="S36" s="8">
        <f t="shared" si="0"/>
        <v>26240310.443028677</v>
      </c>
      <c r="T36" s="8">
        <f t="shared" si="0"/>
        <v>27287358.396429826</v>
      </c>
      <c r="U36" s="8">
        <f t="shared" si="0"/>
        <v>28376288.267967019</v>
      </c>
    </row>
    <row r="37" spans="1:21" x14ac:dyDescent="0.3">
      <c r="A37" t="s">
        <v>74</v>
      </c>
      <c r="B37" s="2">
        <f t="shared" ref="B37:U37" si="1">$K$7*B35*(1+$B$16)^(B$34-1)</f>
        <v>125736.25679999999</v>
      </c>
      <c r="C37" s="2">
        <f t="shared" si="1"/>
        <v>174354.27609599999</v>
      </c>
      <c r="D37" s="2">
        <f t="shared" si="1"/>
        <v>226660.55892480002</v>
      </c>
      <c r="E37" s="2">
        <f t="shared" si="1"/>
        <v>235726.98128179199</v>
      </c>
      <c r="F37" s="2">
        <f t="shared" si="1"/>
        <v>245156.06053306372</v>
      </c>
      <c r="G37" s="2">
        <f t="shared" si="1"/>
        <v>254962.30295438628</v>
      </c>
      <c r="H37" s="2">
        <f t="shared" si="1"/>
        <v>265160.79507256171</v>
      </c>
      <c r="I37" s="2">
        <f t="shared" si="1"/>
        <v>275767.2268754642</v>
      </c>
      <c r="J37" s="2">
        <f t="shared" si="1"/>
        <v>286797.91595048277</v>
      </c>
      <c r="K37" s="2">
        <f t="shared" si="1"/>
        <v>298269.83258850215</v>
      </c>
      <c r="L37" s="2">
        <f t="shared" si="1"/>
        <v>294690.5945974401</v>
      </c>
      <c r="M37" s="2">
        <f t="shared" si="1"/>
        <v>306478.21838133771</v>
      </c>
      <c r="N37" s="2">
        <f t="shared" si="1"/>
        <v>301961.69726834964</v>
      </c>
      <c r="O37" s="2">
        <f t="shared" si="1"/>
        <v>314040.16515908361</v>
      </c>
      <c r="P37" s="2">
        <f t="shared" si="1"/>
        <v>326601.77176544693</v>
      </c>
      <c r="Q37" s="2">
        <f t="shared" si="1"/>
        <v>339665.8426360648</v>
      </c>
      <c r="R37" s="2">
        <f t="shared" si="1"/>
        <v>353252.47634150746</v>
      </c>
      <c r="S37" s="2">
        <f t="shared" si="1"/>
        <v>367382.57539516781</v>
      </c>
      <c r="T37" s="2">
        <f t="shared" si="1"/>
        <v>382077.87841097452</v>
      </c>
      <c r="U37" s="2">
        <f t="shared" si="1"/>
        <v>397360.9935474135</v>
      </c>
    </row>
    <row r="38" spans="1:21" x14ac:dyDescent="0.3">
      <c r="A38" t="s">
        <v>75</v>
      </c>
      <c r="B38" s="2">
        <f t="shared" ref="B38:U38" si="2">$K$8*B35*(1+$B$16)^(B$34-1)</f>
        <v>1954497.5999999999</v>
      </c>
      <c r="C38" s="2">
        <f t="shared" si="2"/>
        <v>2710236.6720000003</v>
      </c>
      <c r="D38" s="2">
        <f t="shared" si="2"/>
        <v>3523307.6736000003</v>
      </c>
      <c r="E38" s="2">
        <f t="shared" si="2"/>
        <v>3664239.9805440004</v>
      </c>
      <c r="F38" s="2">
        <f t="shared" si="2"/>
        <v>3810809.5797657608</v>
      </c>
      <c r="G38" s="2">
        <f t="shared" si="2"/>
        <v>3963241.9629563917</v>
      </c>
      <c r="H38" s="2">
        <f t="shared" si="2"/>
        <v>4121771.6414746474</v>
      </c>
      <c r="I38" s="2">
        <f t="shared" si="2"/>
        <v>4286642.5071336329</v>
      </c>
      <c r="J38" s="2">
        <f t="shared" si="2"/>
        <v>4458108.2074189791</v>
      </c>
      <c r="K38" s="2">
        <f t="shared" si="2"/>
        <v>4636432.5357157383</v>
      </c>
      <c r="L38" s="2">
        <f t="shared" si="2"/>
        <v>4580795.3452871488</v>
      </c>
      <c r="M38" s="2">
        <f t="shared" si="2"/>
        <v>4764027.1590986345</v>
      </c>
      <c r="N38" s="2">
        <f t="shared" si="2"/>
        <v>4693820.4430698138</v>
      </c>
      <c r="O38" s="2">
        <f t="shared" si="2"/>
        <v>4881573.2607926065</v>
      </c>
      <c r="P38" s="2">
        <f t="shared" si="2"/>
        <v>5076836.1912243105</v>
      </c>
      <c r="Q38" s="2">
        <f t="shared" si="2"/>
        <v>5279909.6388732828</v>
      </c>
      <c r="R38" s="2">
        <f t="shared" si="2"/>
        <v>5491106.0244282158</v>
      </c>
      <c r="S38" s="2">
        <f t="shared" si="2"/>
        <v>5710750.2654053438</v>
      </c>
      <c r="T38" s="2">
        <f t="shared" si="2"/>
        <v>5939180.2760215588</v>
      </c>
      <c r="U38" s="2">
        <f t="shared" si="2"/>
        <v>6176747.4870624207</v>
      </c>
    </row>
    <row r="39" spans="1:21" x14ac:dyDescent="0.3">
      <c r="A39" t="s">
        <v>76</v>
      </c>
      <c r="B39" s="2">
        <f t="shared" ref="B39:U39" si="3">$K$9*B35*(1+$B$16)^(B$34-1)</f>
        <v>957528</v>
      </c>
      <c r="C39" s="2">
        <f t="shared" si="3"/>
        <v>1327772.1600000001</v>
      </c>
      <c r="D39" s="2">
        <f t="shared" si="3"/>
        <v>1726103.8080000002</v>
      </c>
      <c r="E39" s="2">
        <f t="shared" si="3"/>
        <v>1795147.9603200001</v>
      </c>
      <c r="F39" s="2">
        <f t="shared" si="3"/>
        <v>1866953.8787328003</v>
      </c>
      <c r="G39" s="2">
        <f t="shared" si="3"/>
        <v>1941632.0338821125</v>
      </c>
      <c r="H39" s="2">
        <f t="shared" si="3"/>
        <v>2019297.3152373971</v>
      </c>
      <c r="I39" s="2">
        <f t="shared" si="3"/>
        <v>2100069.2078468925</v>
      </c>
      <c r="J39" s="2">
        <f t="shared" si="3"/>
        <v>2184071.9761607689</v>
      </c>
      <c r="K39" s="2">
        <f t="shared" si="3"/>
        <v>2271434.8552071997</v>
      </c>
      <c r="L39" s="2">
        <f t="shared" si="3"/>
        <v>2244177.6369447135</v>
      </c>
      <c r="M39" s="2">
        <f t="shared" si="3"/>
        <v>2333944.7424225016</v>
      </c>
      <c r="N39" s="2">
        <f t="shared" si="3"/>
        <v>2299549.7672710125</v>
      </c>
      <c r="O39" s="2">
        <f t="shared" si="3"/>
        <v>2391531.7579618534</v>
      </c>
      <c r="P39" s="2">
        <f t="shared" si="3"/>
        <v>2487193.0282803276</v>
      </c>
      <c r="Q39" s="2">
        <f t="shared" si="3"/>
        <v>2586680.7494115406</v>
      </c>
      <c r="R39" s="2">
        <f t="shared" si="3"/>
        <v>2690147.9793880023</v>
      </c>
      <c r="S39" s="2">
        <f t="shared" si="3"/>
        <v>2797753.8985635228</v>
      </c>
      <c r="T39" s="2">
        <f t="shared" si="3"/>
        <v>2909664.0545060639</v>
      </c>
      <c r="U39" s="2">
        <f t="shared" si="3"/>
        <v>3026050.6166863064</v>
      </c>
    </row>
    <row r="40" spans="1:21" x14ac:dyDescent="0.3">
      <c r="A40" t="s">
        <v>77</v>
      </c>
      <c r="B40" s="2">
        <f t="shared" ref="B40:U40" si="4">$K$10*B35*(1+$B$16)^(B$34-1)</f>
        <v>704068.2</v>
      </c>
      <c r="C40" s="2">
        <f t="shared" si="4"/>
        <v>976307.9040000001</v>
      </c>
      <c r="D40" s="2">
        <f t="shared" si="4"/>
        <v>1269200.2752</v>
      </c>
      <c r="E40" s="2">
        <f t="shared" si="4"/>
        <v>1319968.286208</v>
      </c>
      <c r="F40" s="2">
        <f t="shared" si="4"/>
        <v>1372767.0176563202</v>
      </c>
      <c r="G40" s="2">
        <f t="shared" si="4"/>
        <v>1427677.6983625733</v>
      </c>
      <c r="H40" s="2">
        <f t="shared" si="4"/>
        <v>1484784.8062970762</v>
      </c>
      <c r="I40" s="2">
        <f t="shared" si="4"/>
        <v>1544176.1985489591</v>
      </c>
      <c r="J40" s="2">
        <f t="shared" si="4"/>
        <v>1605943.2464909176</v>
      </c>
      <c r="K40" s="2">
        <f t="shared" si="4"/>
        <v>1670180.9763505545</v>
      </c>
      <c r="L40" s="2">
        <f t="shared" si="4"/>
        <v>1650138.8046343478</v>
      </c>
      <c r="M40" s="2">
        <f t="shared" si="4"/>
        <v>1716144.3568197214</v>
      </c>
      <c r="N40" s="2">
        <f t="shared" si="4"/>
        <v>1690853.8084034314</v>
      </c>
      <c r="O40" s="2">
        <f t="shared" si="4"/>
        <v>1758487.9607395688</v>
      </c>
      <c r="P40" s="2">
        <f t="shared" si="4"/>
        <v>1828827.4791691515</v>
      </c>
      <c r="Q40" s="2">
        <f t="shared" si="4"/>
        <v>1901980.5783359176</v>
      </c>
      <c r="R40" s="2">
        <f t="shared" si="4"/>
        <v>1978059.8014693544</v>
      </c>
      <c r="S40" s="2">
        <f t="shared" si="4"/>
        <v>2057182.1935281288</v>
      </c>
      <c r="T40" s="2">
        <f t="shared" si="4"/>
        <v>2139469.4812692543</v>
      </c>
      <c r="U40" s="2">
        <f t="shared" si="4"/>
        <v>2225048.2605200242</v>
      </c>
    </row>
    <row r="41" spans="1:21" x14ac:dyDescent="0.3">
      <c r="A41" t="s">
        <v>78</v>
      </c>
      <c r="B41" s="2">
        <f t="shared" ref="B41:U41" si="5">$K$11*B35*(1+$B$16)^(B$34-1)</f>
        <v>10810.756756799999</v>
      </c>
      <c r="C41" s="2">
        <f t="shared" si="5"/>
        <v>14990.916036096001</v>
      </c>
      <c r="D41" s="2">
        <f t="shared" si="5"/>
        <v>19488.190846924805</v>
      </c>
      <c r="E41" s="2">
        <f t="shared" si="5"/>
        <v>20267.718480801796</v>
      </c>
      <c r="F41" s="2">
        <f t="shared" si="5"/>
        <v>21078.427220033867</v>
      </c>
      <c r="G41" s="2">
        <f t="shared" si="5"/>
        <v>21921.564308835226</v>
      </c>
      <c r="H41" s="2">
        <f t="shared" si="5"/>
        <v>22798.426881188636</v>
      </c>
      <c r="I41" s="2">
        <f t="shared" si="5"/>
        <v>23710.363956436177</v>
      </c>
      <c r="J41" s="2">
        <f t="shared" si="5"/>
        <v>24658.778514693629</v>
      </c>
      <c r="K41" s="2">
        <f t="shared" si="5"/>
        <v>25645.129655281376</v>
      </c>
      <c r="L41" s="2">
        <f t="shared" si="5"/>
        <v>25337.388099418</v>
      </c>
      <c r="M41" s="2">
        <f t="shared" si="5"/>
        <v>26350.883623394719</v>
      </c>
      <c r="N41" s="2">
        <f t="shared" si="5"/>
        <v>25962.554812102593</v>
      </c>
      <c r="O41" s="2">
        <f t="shared" si="5"/>
        <v>27001.057004586699</v>
      </c>
      <c r="P41" s="2">
        <f t="shared" si="5"/>
        <v>28081.099284770164</v>
      </c>
      <c r="Q41" s="2">
        <f t="shared" si="5"/>
        <v>29204.34325616097</v>
      </c>
      <c r="R41" s="2">
        <f t="shared" si="5"/>
        <v>30372.516986407416</v>
      </c>
      <c r="S41" s="2">
        <f t="shared" si="5"/>
        <v>31587.417665863712</v>
      </c>
      <c r="T41" s="2">
        <f t="shared" si="5"/>
        <v>32850.914372498264</v>
      </c>
      <c r="U41" s="2">
        <f t="shared" si="5"/>
        <v>34164.950947398196</v>
      </c>
    </row>
    <row r="42" spans="1:21" x14ac:dyDescent="0.3">
      <c r="A42" t="s">
        <v>79</v>
      </c>
      <c r="B42" s="2">
        <f t="shared" ref="B42:U42" si="6">$K$15*B35*(1+$B$16)^(B$34-1)</f>
        <v>78707.832593468644</v>
      </c>
      <c r="C42" s="2">
        <f t="shared" si="6"/>
        <v>109141.5278629432</v>
      </c>
      <c r="D42" s="2">
        <f t="shared" si="6"/>
        <v>141883.98622182614</v>
      </c>
      <c r="E42" s="2">
        <f t="shared" si="6"/>
        <v>147559.3456706992</v>
      </c>
      <c r="F42" s="2">
        <f t="shared" si="6"/>
        <v>153461.71949752717</v>
      </c>
      <c r="G42" s="2">
        <f t="shared" si="6"/>
        <v>159600.18827742827</v>
      </c>
      <c r="H42" s="2">
        <f t="shared" si="6"/>
        <v>165984.1958085254</v>
      </c>
      <c r="I42" s="2">
        <f t="shared" si="6"/>
        <v>172623.5636408664</v>
      </c>
      <c r="J42" s="2">
        <f t="shared" si="6"/>
        <v>179528.50618650109</v>
      </c>
      <c r="K42" s="2">
        <f t="shared" si="6"/>
        <v>186709.64643396117</v>
      </c>
      <c r="L42" s="2">
        <f t="shared" si="6"/>
        <v>184469.13067675362</v>
      </c>
      <c r="M42" s="2">
        <f t="shared" si="6"/>
        <v>191847.89590382375</v>
      </c>
      <c r="N42" s="2">
        <f t="shared" si="6"/>
        <v>189020.66375366217</v>
      </c>
      <c r="O42" s="2">
        <f t="shared" si="6"/>
        <v>196581.49030380868</v>
      </c>
      <c r="P42" s="2">
        <f t="shared" si="6"/>
        <v>204444.749915961</v>
      </c>
      <c r="Q42" s="2">
        <f t="shared" si="6"/>
        <v>212622.53991259946</v>
      </c>
      <c r="R42" s="2">
        <f t="shared" si="6"/>
        <v>221127.44150910346</v>
      </c>
      <c r="S42" s="2">
        <f t="shared" si="6"/>
        <v>229972.53916946761</v>
      </c>
      <c r="T42" s="2">
        <f t="shared" si="6"/>
        <v>239171.44073624635</v>
      </c>
      <c r="U42" s="2">
        <f t="shared" si="6"/>
        <v>248738.29836569619</v>
      </c>
    </row>
    <row r="43" spans="1:21" x14ac:dyDescent="0.3">
      <c r="A43" t="s">
        <v>80</v>
      </c>
      <c r="B43" s="2">
        <f t="shared" ref="B43:U43" si="7">$K$16*B35*(1+$B$16)^(B$34-1)</f>
        <v>519187.3349646448</v>
      </c>
      <c r="C43" s="2">
        <f t="shared" si="7"/>
        <v>719939.77115097432</v>
      </c>
      <c r="D43" s="2">
        <f t="shared" si="7"/>
        <v>935921.70249626657</v>
      </c>
      <c r="E43" s="2">
        <f t="shared" si="7"/>
        <v>973358.57059611718</v>
      </c>
      <c r="F43" s="2">
        <f t="shared" si="7"/>
        <v>1012292.9134199619</v>
      </c>
      <c r="G43" s="2">
        <f t="shared" si="7"/>
        <v>1052784.6299567604</v>
      </c>
      <c r="H43" s="2">
        <f t="shared" si="7"/>
        <v>1094896.0151550309</v>
      </c>
      <c r="I43" s="2">
        <f t="shared" si="7"/>
        <v>1138691.8557612321</v>
      </c>
      <c r="J43" s="2">
        <f t="shared" si="7"/>
        <v>1184239.5299916817</v>
      </c>
      <c r="K43" s="2">
        <f t="shared" si="7"/>
        <v>1231609.1111913489</v>
      </c>
      <c r="L43" s="2">
        <f t="shared" si="7"/>
        <v>1216829.8018570528</v>
      </c>
      <c r="M43" s="2">
        <f t="shared" si="7"/>
        <v>1265502.9939313347</v>
      </c>
      <c r="N43" s="2">
        <f t="shared" si="7"/>
        <v>1246853.4761260313</v>
      </c>
      <c r="O43" s="2">
        <f t="shared" si="7"/>
        <v>1296727.6151710725</v>
      </c>
      <c r="P43" s="2">
        <f t="shared" si="7"/>
        <v>1348596.7197779154</v>
      </c>
      <c r="Q43" s="2">
        <f t="shared" si="7"/>
        <v>1402540.588569032</v>
      </c>
      <c r="R43" s="2">
        <f t="shared" si="7"/>
        <v>1458642.2121117935</v>
      </c>
      <c r="S43" s="2">
        <f t="shared" si="7"/>
        <v>1516987.9005962652</v>
      </c>
      <c r="T43" s="2">
        <f t="shared" si="7"/>
        <v>1577667.416620116</v>
      </c>
      <c r="U43" s="2">
        <f t="shared" si="7"/>
        <v>1640774.1132849206</v>
      </c>
    </row>
    <row r="44" spans="1:21" x14ac:dyDescent="0.3">
      <c r="A44" t="s">
        <v>81</v>
      </c>
      <c r="B44" s="2">
        <f t="shared" ref="B44:U44" si="8">$K$20*B35*(1+$B$16)^(B$34-1)</f>
        <v>738000</v>
      </c>
      <c r="C44" s="2">
        <f t="shared" si="8"/>
        <v>1023360</v>
      </c>
      <c r="D44" s="2">
        <f t="shared" si="8"/>
        <v>1330368.0000000002</v>
      </c>
      <c r="E44" s="2">
        <f t="shared" si="8"/>
        <v>1383582.7200000002</v>
      </c>
      <c r="F44" s="2">
        <f t="shared" si="8"/>
        <v>1438926.0288000002</v>
      </c>
      <c r="G44" s="2">
        <f t="shared" si="8"/>
        <v>1496483.0699520004</v>
      </c>
      <c r="H44" s="2">
        <f t="shared" si="8"/>
        <v>1556342.3927500804</v>
      </c>
      <c r="I44" s="2">
        <f t="shared" si="8"/>
        <v>1618596.0884600836</v>
      </c>
      <c r="J44" s="2">
        <f t="shared" si="8"/>
        <v>1683339.9319984871</v>
      </c>
      <c r="K44" s="2">
        <f t="shared" si="8"/>
        <v>1750673.5292784269</v>
      </c>
      <c r="L44" s="2">
        <f t="shared" si="8"/>
        <v>1729665.4469270858</v>
      </c>
      <c r="M44" s="2">
        <f t="shared" si="8"/>
        <v>1798852.0648041689</v>
      </c>
      <c r="N44" s="2">
        <f t="shared" si="8"/>
        <v>1772342.6659544236</v>
      </c>
      <c r="O44" s="2">
        <f t="shared" si="8"/>
        <v>1843236.3725926008</v>
      </c>
      <c r="P44" s="2">
        <f t="shared" si="8"/>
        <v>1916965.8274963046</v>
      </c>
      <c r="Q44" s="2">
        <f t="shared" si="8"/>
        <v>1993644.4605961568</v>
      </c>
      <c r="R44" s="2">
        <f t="shared" si="8"/>
        <v>2073390.2390200035</v>
      </c>
      <c r="S44" s="2">
        <f t="shared" si="8"/>
        <v>2156325.8485808037</v>
      </c>
      <c r="T44" s="2">
        <f t="shared" si="8"/>
        <v>2242578.8825240359</v>
      </c>
      <c r="U44" s="2">
        <f t="shared" si="8"/>
        <v>2332282.0378249972</v>
      </c>
    </row>
    <row r="45" spans="1:21" x14ac:dyDescent="0.3">
      <c r="A45" t="s">
        <v>82</v>
      </c>
      <c r="B45" s="2">
        <f t="shared" ref="B45:U45" si="9">$K$21*B35*(1+$B$16)^(B$34-1)</f>
        <v>108000</v>
      </c>
      <c r="C45" s="2">
        <f t="shared" si="9"/>
        <v>149760</v>
      </c>
      <c r="D45" s="2">
        <f t="shared" si="9"/>
        <v>194688.00000000003</v>
      </c>
      <c r="E45" s="2">
        <f t="shared" si="9"/>
        <v>202475.52000000002</v>
      </c>
      <c r="F45" s="2">
        <f t="shared" si="9"/>
        <v>210574.54080000005</v>
      </c>
      <c r="G45" s="2">
        <f t="shared" si="9"/>
        <v>218997.52243200006</v>
      </c>
      <c r="H45" s="2">
        <f t="shared" si="9"/>
        <v>227757.42332928008</v>
      </c>
      <c r="I45" s="2">
        <f t="shared" si="9"/>
        <v>236867.72026245124</v>
      </c>
      <c r="J45" s="2">
        <f t="shared" si="9"/>
        <v>246342.42907294934</v>
      </c>
      <c r="K45" s="2">
        <f t="shared" si="9"/>
        <v>256196.12623586733</v>
      </c>
      <c r="L45" s="2">
        <f t="shared" si="9"/>
        <v>253121.77272103692</v>
      </c>
      <c r="M45" s="2">
        <f t="shared" si="9"/>
        <v>263246.64362987841</v>
      </c>
      <c r="N45" s="2">
        <f t="shared" si="9"/>
        <v>259367.21940796444</v>
      </c>
      <c r="O45" s="2">
        <f t="shared" si="9"/>
        <v>269741.90818428301</v>
      </c>
      <c r="P45" s="2">
        <f t="shared" si="9"/>
        <v>280531.58451165434</v>
      </c>
      <c r="Q45" s="2">
        <f t="shared" si="9"/>
        <v>291752.84789212054</v>
      </c>
      <c r="R45" s="2">
        <f t="shared" si="9"/>
        <v>303422.9618078054</v>
      </c>
      <c r="S45" s="2">
        <f t="shared" si="9"/>
        <v>315559.88028011762</v>
      </c>
      <c r="T45" s="2">
        <f t="shared" si="9"/>
        <v>328182.27549132233</v>
      </c>
      <c r="U45" s="2">
        <f t="shared" si="9"/>
        <v>341309.56651097524</v>
      </c>
    </row>
    <row r="46" spans="1:21" x14ac:dyDescent="0.3">
      <c r="A46" s="1" t="s">
        <v>83</v>
      </c>
      <c r="B46" s="8">
        <f t="shared" ref="B46:U46" si="10">SUM(B37:B45)</f>
        <v>5196535.9811149137</v>
      </c>
      <c r="C46" s="8">
        <f t="shared" si="10"/>
        <v>7205863.2271460136</v>
      </c>
      <c r="D46" s="8">
        <f t="shared" si="10"/>
        <v>9367622.1952898186</v>
      </c>
      <c r="E46" s="8">
        <f t="shared" si="10"/>
        <v>9742327.0831014104</v>
      </c>
      <c r="F46" s="8">
        <f t="shared" si="10"/>
        <v>10132020.166425468</v>
      </c>
      <c r="G46" s="8">
        <f t="shared" si="10"/>
        <v>10537300.973082487</v>
      </c>
      <c r="H46" s="8">
        <f t="shared" si="10"/>
        <v>10958793.012005789</v>
      </c>
      <c r="I46" s="8">
        <f t="shared" si="10"/>
        <v>11397144.732486019</v>
      </c>
      <c r="J46" s="8">
        <f t="shared" si="10"/>
        <v>11853030.521785464</v>
      </c>
      <c r="K46" s="8">
        <f t="shared" si="10"/>
        <v>12327151.742656881</v>
      </c>
      <c r="L46" s="8">
        <f t="shared" si="10"/>
        <v>12179225.921744997</v>
      </c>
      <c r="M46" s="8">
        <f t="shared" si="10"/>
        <v>12666394.958614796</v>
      </c>
      <c r="N46" s="8">
        <f t="shared" si="10"/>
        <v>12479732.296066795</v>
      </c>
      <c r="O46" s="8">
        <f t="shared" si="10"/>
        <v>12978921.587909462</v>
      </c>
      <c r="P46" s="8">
        <f t="shared" si="10"/>
        <v>13498078.451425843</v>
      </c>
      <c r="Q46" s="8">
        <f t="shared" si="10"/>
        <v>14038001.589482877</v>
      </c>
      <c r="R46" s="8">
        <f t="shared" si="10"/>
        <v>14599521.653062193</v>
      </c>
      <c r="S46" s="8">
        <f t="shared" si="10"/>
        <v>15183502.519184683</v>
      </c>
      <c r="T46" s="8">
        <f t="shared" si="10"/>
        <v>15790842.61995207</v>
      </c>
      <c r="U46" s="8">
        <f t="shared" si="10"/>
        <v>16422476.324750153</v>
      </c>
    </row>
    <row r="47" spans="1:21" x14ac:dyDescent="0.3">
      <c r="A47" t="s">
        <v>84</v>
      </c>
      <c r="B47" s="2">
        <f t="shared" ref="B47:U47" si="11">$K$25*(1+$B$16)^(B$34-1)</f>
        <v>822000</v>
      </c>
      <c r="C47" s="2">
        <f t="shared" si="11"/>
        <v>854880</v>
      </c>
      <c r="D47" s="2">
        <f t="shared" si="11"/>
        <v>889075.20000000007</v>
      </c>
      <c r="E47" s="2">
        <f t="shared" si="11"/>
        <v>924638.2080000001</v>
      </c>
      <c r="F47" s="2">
        <f t="shared" si="11"/>
        <v>961623.73632000014</v>
      </c>
      <c r="G47" s="2">
        <f t="shared" si="11"/>
        <v>1000088.6857728002</v>
      </c>
      <c r="H47" s="2">
        <f t="shared" si="11"/>
        <v>1040092.2332037123</v>
      </c>
      <c r="I47" s="2">
        <f t="shared" si="11"/>
        <v>1081695.9225318606</v>
      </c>
      <c r="J47" s="2">
        <f t="shared" si="11"/>
        <v>1124963.7594331354</v>
      </c>
      <c r="K47" s="2">
        <f t="shared" si="11"/>
        <v>1169962.3098104608</v>
      </c>
      <c r="L47" s="2">
        <f t="shared" si="11"/>
        <v>1216760.8022028792</v>
      </c>
      <c r="M47" s="2">
        <f t="shared" si="11"/>
        <v>1265431.2342909942</v>
      </c>
      <c r="N47" s="2">
        <f t="shared" si="11"/>
        <v>1316048.4836626344</v>
      </c>
      <c r="O47" s="2">
        <f t="shared" si="11"/>
        <v>1368690.4230091397</v>
      </c>
      <c r="P47" s="2">
        <f t="shared" si="11"/>
        <v>1423438.0399295054</v>
      </c>
      <c r="Q47" s="2">
        <f t="shared" si="11"/>
        <v>1480375.5615266855</v>
      </c>
      <c r="R47" s="2">
        <f t="shared" si="11"/>
        <v>1539590.5839877531</v>
      </c>
      <c r="S47" s="2">
        <f t="shared" si="11"/>
        <v>1601174.2073472633</v>
      </c>
      <c r="T47" s="2">
        <f t="shared" si="11"/>
        <v>1665221.1756411542</v>
      </c>
      <c r="U47" s="2">
        <f t="shared" si="11"/>
        <v>1731830.0226668003</v>
      </c>
    </row>
    <row r="48" spans="1:21" x14ac:dyDescent="0.3">
      <c r="A48" t="s">
        <v>85</v>
      </c>
      <c r="B48" s="2">
        <f t="shared" ref="B48:U48" si="12">$K$26*(1+$B$16)^(B$34-1)</f>
        <v>804141.61110402294</v>
      </c>
      <c r="C48" s="2">
        <f t="shared" si="12"/>
        <v>836307.27554818394</v>
      </c>
      <c r="D48" s="2">
        <f t="shared" si="12"/>
        <v>869759.56657011132</v>
      </c>
      <c r="E48" s="2">
        <f t="shared" si="12"/>
        <v>904549.94923291577</v>
      </c>
      <c r="F48" s="2">
        <f t="shared" si="12"/>
        <v>940731.94720223243</v>
      </c>
      <c r="G48" s="2">
        <f t="shared" si="12"/>
        <v>978361.22509032185</v>
      </c>
      <c r="H48" s="2">
        <f t="shared" si="12"/>
        <v>1017495.6740939347</v>
      </c>
      <c r="I48" s="2">
        <f t="shared" si="12"/>
        <v>1058195.5010576921</v>
      </c>
      <c r="J48" s="2">
        <f t="shared" si="12"/>
        <v>1100523.3210999998</v>
      </c>
      <c r="K48" s="2">
        <f t="shared" si="12"/>
        <v>1144544.253944</v>
      </c>
      <c r="L48" s="2">
        <f t="shared" si="12"/>
        <v>1190326.02410176</v>
      </c>
      <c r="M48" s="2">
        <f t="shared" si="12"/>
        <v>1237939.0650658302</v>
      </c>
      <c r="N48" s="2">
        <f t="shared" si="12"/>
        <v>1287456.6276684639</v>
      </c>
      <c r="O48" s="2">
        <f t="shared" si="12"/>
        <v>1338954.8927752024</v>
      </c>
      <c r="P48" s="2">
        <f t="shared" si="12"/>
        <v>1392513.0884862104</v>
      </c>
      <c r="Q48" s="2">
        <f t="shared" si="12"/>
        <v>1448213.6120256588</v>
      </c>
      <c r="R48" s="2">
        <f t="shared" si="12"/>
        <v>1506142.1565066855</v>
      </c>
      <c r="S48" s="2">
        <f t="shared" si="12"/>
        <v>1566387.8427669529</v>
      </c>
      <c r="T48" s="2">
        <f t="shared" si="12"/>
        <v>1629043.3564776313</v>
      </c>
      <c r="U48" s="2">
        <f t="shared" si="12"/>
        <v>1694205.0907367363</v>
      </c>
    </row>
    <row r="49" spans="1:21" x14ac:dyDescent="0.3">
      <c r="A49" t="s">
        <v>86</v>
      </c>
      <c r="B49" s="2">
        <f t="shared" ref="B49:U49" si="13">$K$27*(1+$B$16)^(B$34-1)</f>
        <v>201035.40277600574</v>
      </c>
      <c r="C49" s="2">
        <f t="shared" si="13"/>
        <v>209076.81888704599</v>
      </c>
      <c r="D49" s="2">
        <f t="shared" si="13"/>
        <v>217439.89164252783</v>
      </c>
      <c r="E49" s="2">
        <f t="shared" si="13"/>
        <v>226137.48730822894</v>
      </c>
      <c r="F49" s="2">
        <f t="shared" si="13"/>
        <v>235182.98680055811</v>
      </c>
      <c r="G49" s="2">
        <f t="shared" si="13"/>
        <v>244590.30627258046</v>
      </c>
      <c r="H49" s="2">
        <f t="shared" si="13"/>
        <v>254373.91852348368</v>
      </c>
      <c r="I49" s="2">
        <f t="shared" si="13"/>
        <v>264548.87526442303</v>
      </c>
      <c r="J49" s="2">
        <f t="shared" si="13"/>
        <v>275130.83027499996</v>
      </c>
      <c r="K49" s="2">
        <f t="shared" si="13"/>
        <v>286136.063486</v>
      </c>
      <c r="L49" s="2">
        <f t="shared" si="13"/>
        <v>297581.50602544</v>
      </c>
      <c r="M49" s="2">
        <f t="shared" si="13"/>
        <v>309484.76626645756</v>
      </c>
      <c r="N49" s="2">
        <f t="shared" si="13"/>
        <v>321864.15691711596</v>
      </c>
      <c r="O49" s="2">
        <f t="shared" si="13"/>
        <v>334738.7231938006</v>
      </c>
      <c r="P49" s="2">
        <f t="shared" si="13"/>
        <v>348128.27212155261</v>
      </c>
      <c r="Q49" s="2">
        <f t="shared" si="13"/>
        <v>362053.40300641471</v>
      </c>
      <c r="R49" s="2">
        <f t="shared" si="13"/>
        <v>376535.53912667139</v>
      </c>
      <c r="S49" s="2">
        <f t="shared" si="13"/>
        <v>391596.96069173823</v>
      </c>
      <c r="T49" s="2">
        <f t="shared" si="13"/>
        <v>407260.83911940781</v>
      </c>
      <c r="U49" s="2">
        <f t="shared" si="13"/>
        <v>423551.27268418408</v>
      </c>
    </row>
    <row r="50" spans="1:21" x14ac:dyDescent="0.3">
      <c r="A50" t="s">
        <v>87</v>
      </c>
      <c r="B50" s="2">
        <f t="shared" ref="B50:U50" si="14">$K$28*(1+$B$16)^(B$34-1)</f>
        <v>582731.42632101465</v>
      </c>
      <c r="C50" s="2">
        <f t="shared" si="14"/>
        <v>606040.68337385519</v>
      </c>
      <c r="D50" s="2">
        <f t="shared" si="14"/>
        <v>630282.31070880953</v>
      </c>
      <c r="E50" s="2">
        <f t="shared" si="14"/>
        <v>655493.60313716182</v>
      </c>
      <c r="F50" s="2">
        <f t="shared" si="14"/>
        <v>681713.3472626484</v>
      </c>
      <c r="G50" s="2">
        <f t="shared" si="14"/>
        <v>708981.88115315442</v>
      </c>
      <c r="H50" s="2">
        <f t="shared" si="14"/>
        <v>737341.15639928065</v>
      </c>
      <c r="I50" s="2">
        <f t="shared" si="14"/>
        <v>766834.80265525181</v>
      </c>
      <c r="J50" s="2">
        <f t="shared" si="14"/>
        <v>797508.19476146193</v>
      </c>
      <c r="K50" s="2">
        <f t="shared" si="14"/>
        <v>829408.5225519205</v>
      </c>
      <c r="L50" s="2">
        <f t="shared" si="14"/>
        <v>862584.8634539973</v>
      </c>
      <c r="M50" s="2">
        <f t="shared" si="14"/>
        <v>897088.25799215713</v>
      </c>
      <c r="N50" s="2">
        <f t="shared" si="14"/>
        <v>932971.78831184364</v>
      </c>
      <c r="O50" s="2">
        <f t="shared" si="14"/>
        <v>970290.65984431747</v>
      </c>
      <c r="P50" s="2">
        <f t="shared" si="14"/>
        <v>1009102.2862380901</v>
      </c>
      <c r="Q50" s="2">
        <f t="shared" si="14"/>
        <v>1049466.3776876137</v>
      </c>
      <c r="R50" s="2">
        <f t="shared" si="14"/>
        <v>1091445.0327951184</v>
      </c>
      <c r="S50" s="2">
        <f t="shared" si="14"/>
        <v>1135102.8341069231</v>
      </c>
      <c r="T50" s="2">
        <f t="shared" si="14"/>
        <v>1180506.9474712003</v>
      </c>
      <c r="U50" s="2">
        <f t="shared" si="14"/>
        <v>1227727.2253700483</v>
      </c>
    </row>
    <row r="51" spans="1:21" x14ac:dyDescent="0.3">
      <c r="A51" t="s">
        <v>88</v>
      </c>
      <c r="B51" s="2">
        <f t="shared" ref="B51:U51" si="15">$K$29*(1+$B$16)^(B$34-1)</f>
        <v>10000</v>
      </c>
      <c r="C51" s="2">
        <f t="shared" si="15"/>
        <v>10400</v>
      </c>
      <c r="D51" s="2">
        <f t="shared" si="15"/>
        <v>10816.000000000002</v>
      </c>
      <c r="E51" s="2">
        <f t="shared" si="15"/>
        <v>11248.640000000001</v>
      </c>
      <c r="F51" s="2">
        <f t="shared" si="15"/>
        <v>11698.585600000002</v>
      </c>
      <c r="G51" s="2">
        <f t="shared" si="15"/>
        <v>12166.529024000003</v>
      </c>
      <c r="H51" s="2">
        <f t="shared" si="15"/>
        <v>12653.190184960004</v>
      </c>
      <c r="I51" s="2">
        <f t="shared" si="15"/>
        <v>13159.317792358403</v>
      </c>
      <c r="J51" s="2">
        <f t="shared" si="15"/>
        <v>13685.690504052742</v>
      </c>
      <c r="K51" s="2">
        <f t="shared" si="15"/>
        <v>14233.118124214852</v>
      </c>
      <c r="L51" s="2">
        <f t="shared" si="15"/>
        <v>14802.442849183446</v>
      </c>
      <c r="M51" s="2">
        <f t="shared" si="15"/>
        <v>15394.540563150782</v>
      </c>
      <c r="N51" s="2">
        <f t="shared" si="15"/>
        <v>16010.322185676818</v>
      </c>
      <c r="O51" s="2">
        <f t="shared" si="15"/>
        <v>16650.73507310389</v>
      </c>
      <c r="P51" s="2">
        <f t="shared" si="15"/>
        <v>17316.764476028045</v>
      </c>
      <c r="Q51" s="2">
        <f t="shared" si="15"/>
        <v>18009.435055069167</v>
      </c>
      <c r="R51" s="2">
        <f t="shared" si="15"/>
        <v>18729.812457271939</v>
      </c>
      <c r="S51" s="2">
        <f t="shared" si="15"/>
        <v>19479.004955562814</v>
      </c>
      <c r="T51" s="2">
        <f t="shared" si="15"/>
        <v>20258.165153785329</v>
      </c>
      <c r="U51" s="2">
        <f t="shared" si="15"/>
        <v>21068.491759936744</v>
      </c>
    </row>
    <row r="52" spans="1:21" x14ac:dyDescent="0.3">
      <c r="A52" t="s">
        <v>89</v>
      </c>
      <c r="B52" s="2">
        <f t="shared" ref="B52:U52" si="16">$K$30*(1+$B$16)^(B$34-1)</f>
        <v>15000</v>
      </c>
      <c r="C52" s="2">
        <f t="shared" si="16"/>
        <v>15600</v>
      </c>
      <c r="D52" s="2">
        <f t="shared" si="16"/>
        <v>16224.000000000002</v>
      </c>
      <c r="E52" s="2">
        <f t="shared" si="16"/>
        <v>16872.960000000003</v>
      </c>
      <c r="F52" s="2">
        <f t="shared" si="16"/>
        <v>17547.878400000001</v>
      </c>
      <c r="G52" s="2">
        <f t="shared" si="16"/>
        <v>18249.793536000005</v>
      </c>
      <c r="H52" s="2">
        <f t="shared" si="16"/>
        <v>18979.785277440005</v>
      </c>
      <c r="I52" s="2">
        <f t="shared" si="16"/>
        <v>19738.976688537605</v>
      </c>
      <c r="J52" s="2">
        <f t="shared" si="16"/>
        <v>20528.535756079113</v>
      </c>
      <c r="K52" s="2">
        <f t="shared" si="16"/>
        <v>21349.677186322278</v>
      </c>
      <c r="L52" s="2">
        <f t="shared" si="16"/>
        <v>22203.664273775168</v>
      </c>
      <c r="M52" s="2">
        <f t="shared" si="16"/>
        <v>23091.810844726173</v>
      </c>
      <c r="N52" s="2">
        <f t="shared" si="16"/>
        <v>24015.483278515225</v>
      </c>
      <c r="O52" s="2">
        <f t="shared" si="16"/>
        <v>24976.102609655834</v>
      </c>
      <c r="P52" s="2">
        <f t="shared" si="16"/>
        <v>25975.146714042068</v>
      </c>
      <c r="Q52" s="2">
        <f t="shared" si="16"/>
        <v>27014.15258260375</v>
      </c>
      <c r="R52" s="2">
        <f t="shared" si="16"/>
        <v>28094.718685907905</v>
      </c>
      <c r="S52" s="2">
        <f t="shared" si="16"/>
        <v>29218.507433344224</v>
      </c>
      <c r="T52" s="2">
        <f t="shared" si="16"/>
        <v>30387.247730677995</v>
      </c>
      <c r="U52" s="2">
        <f t="shared" si="16"/>
        <v>31602.737639905114</v>
      </c>
    </row>
    <row r="53" spans="1:21" x14ac:dyDescent="0.3">
      <c r="A53" s="1" t="s">
        <v>90</v>
      </c>
      <c r="B53" s="8">
        <f t="shared" ref="B53:U53" si="17">SUM(B47:B52)</f>
        <v>2434908.4402010432</v>
      </c>
      <c r="C53" s="8">
        <f t="shared" si="17"/>
        <v>2532304.7778090853</v>
      </c>
      <c r="D53" s="8">
        <f t="shared" si="17"/>
        <v>2633596.9689214486</v>
      </c>
      <c r="E53" s="8">
        <f t="shared" si="17"/>
        <v>2738940.847678307</v>
      </c>
      <c r="F53" s="8">
        <f t="shared" si="17"/>
        <v>2848498.4815854388</v>
      </c>
      <c r="G53" s="8">
        <f t="shared" si="17"/>
        <v>2962438.4208488562</v>
      </c>
      <c r="H53" s="8">
        <f t="shared" si="17"/>
        <v>3080935.9576828117</v>
      </c>
      <c r="I53" s="8">
        <f t="shared" si="17"/>
        <v>3204173.3959901235</v>
      </c>
      <c r="J53" s="8">
        <f t="shared" si="17"/>
        <v>3332340.331829729</v>
      </c>
      <c r="K53" s="8">
        <f t="shared" si="17"/>
        <v>3465633.9451029189</v>
      </c>
      <c r="L53" s="8">
        <f t="shared" si="17"/>
        <v>3604259.3029070352</v>
      </c>
      <c r="M53" s="8">
        <f t="shared" si="17"/>
        <v>3748429.6750233169</v>
      </c>
      <c r="N53" s="8">
        <f t="shared" si="17"/>
        <v>3898366.8620242504</v>
      </c>
      <c r="O53" s="8">
        <f t="shared" si="17"/>
        <v>4054301.53650522</v>
      </c>
      <c r="P53" s="8">
        <f t="shared" si="17"/>
        <v>4216473.5979654286</v>
      </c>
      <c r="Q53" s="8">
        <f t="shared" si="17"/>
        <v>4385132.541884046</v>
      </c>
      <c r="R53" s="8">
        <f t="shared" si="17"/>
        <v>4560537.8435594086</v>
      </c>
      <c r="S53" s="8">
        <f t="shared" si="17"/>
        <v>4742959.3573017847</v>
      </c>
      <c r="T53" s="8">
        <f t="shared" si="17"/>
        <v>4932677.7315938566</v>
      </c>
      <c r="U53" s="8">
        <f t="shared" si="17"/>
        <v>5129984.8408576101</v>
      </c>
    </row>
    <row r="54" spans="1:21" x14ac:dyDescent="0.3">
      <c r="A54" s="1" t="s">
        <v>91</v>
      </c>
      <c r="B54" s="8">
        <f>B46+B53</f>
        <v>7631444.4213159569</v>
      </c>
      <c r="C54" s="8">
        <f t="shared" ref="C54:U54" si="18">C46+C53</f>
        <v>9738168.004955098</v>
      </c>
      <c r="D54" s="8">
        <f t="shared" si="18"/>
        <v>12001219.164211268</v>
      </c>
      <c r="E54" s="8">
        <f t="shared" si="18"/>
        <v>12481267.930779718</v>
      </c>
      <c r="F54" s="8">
        <f t="shared" si="18"/>
        <v>12980518.648010908</v>
      </c>
      <c r="G54" s="8">
        <f t="shared" si="18"/>
        <v>13499739.393931342</v>
      </c>
      <c r="H54" s="8">
        <f t="shared" si="18"/>
        <v>14039728.969688602</v>
      </c>
      <c r="I54" s="8">
        <f t="shared" si="18"/>
        <v>14601318.128476143</v>
      </c>
      <c r="J54" s="8">
        <f t="shared" si="18"/>
        <v>15185370.853615193</v>
      </c>
      <c r="K54" s="8">
        <f t="shared" si="18"/>
        <v>15792785.6877598</v>
      </c>
      <c r="L54" s="8">
        <f t="shared" si="18"/>
        <v>15783485.224652031</v>
      </c>
      <c r="M54" s="8">
        <f t="shared" si="18"/>
        <v>16414824.633638114</v>
      </c>
      <c r="N54" s="8">
        <f t="shared" si="18"/>
        <v>16378099.158091046</v>
      </c>
      <c r="O54" s="8">
        <f t="shared" si="18"/>
        <v>17033223.124414682</v>
      </c>
      <c r="P54" s="8">
        <f t="shared" si="18"/>
        <v>17714552.04939127</v>
      </c>
      <c r="Q54" s="8">
        <f t="shared" si="18"/>
        <v>18423134.131366923</v>
      </c>
      <c r="R54" s="8">
        <f t="shared" si="18"/>
        <v>19160059.496621601</v>
      </c>
      <c r="S54" s="8">
        <f t="shared" si="18"/>
        <v>19926461.876486465</v>
      </c>
      <c r="T54" s="8">
        <f t="shared" si="18"/>
        <v>20723520.351545926</v>
      </c>
      <c r="U54" s="8">
        <f t="shared" si="18"/>
        <v>21552461.165607765</v>
      </c>
    </row>
    <row r="55" spans="1:21" x14ac:dyDescent="0.3">
      <c r="A55" s="1" t="s">
        <v>92</v>
      </c>
      <c r="B55" s="8">
        <f t="shared" ref="B55:U55" si="19">B36-B54</f>
        <v>1351440.6266840417</v>
      </c>
      <c r="C55" s="8">
        <f t="shared" si="19"/>
        <v>2734909.4398449007</v>
      </c>
      <c r="D55" s="8">
        <f t="shared" si="19"/>
        <v>4226996.0316287335</v>
      </c>
      <c r="E55" s="8">
        <f t="shared" si="19"/>
        <v>4393511.4085738845</v>
      </c>
      <c r="F55" s="8">
        <f t="shared" si="19"/>
        <v>4566687.4005968403</v>
      </c>
      <c r="G55" s="8">
        <f t="shared" si="19"/>
        <v>4746790.4323007148</v>
      </c>
      <c r="H55" s="8">
        <f t="shared" si="19"/>
        <v>4934097.5852727406</v>
      </c>
      <c r="I55" s="8">
        <f t="shared" si="19"/>
        <v>5128897.0243636481</v>
      </c>
      <c r="J55" s="8">
        <f t="shared" si="19"/>
        <v>5331488.4410181958</v>
      </c>
      <c r="K55" s="8">
        <f t="shared" si="19"/>
        <v>5542183.5143389236</v>
      </c>
      <c r="L55" s="8">
        <f t="shared" si="19"/>
        <v>5287352.2206079978</v>
      </c>
      <c r="M55" s="8">
        <f t="shared" si="19"/>
        <v>5496281.8451123163</v>
      </c>
      <c r="N55" s="8">
        <f t="shared" si="19"/>
        <v>5200939.824341584</v>
      </c>
      <c r="O55" s="8">
        <f t="shared" si="19"/>
        <v>5406412.9529952593</v>
      </c>
      <c r="P55" s="8">
        <f t="shared" si="19"/>
        <v>5620105.0067950636</v>
      </c>
      <c r="Q55" s="8">
        <f t="shared" si="19"/>
        <v>5842344.7427468672</v>
      </c>
      <c r="R55" s="8">
        <f t="shared" si="19"/>
        <v>6073474.0681367405</v>
      </c>
      <c r="S55" s="8">
        <f t="shared" si="19"/>
        <v>6313848.5665422119</v>
      </c>
      <c r="T55" s="8">
        <f t="shared" si="19"/>
        <v>6563838.0448838994</v>
      </c>
      <c r="U55" s="8">
        <f t="shared" si="19"/>
        <v>6823827.1023592539</v>
      </c>
    </row>
    <row r="56" spans="1:21" x14ac:dyDescent="0.3">
      <c r="A56" t="s">
        <v>370</v>
      </c>
      <c r="B56" s="2">
        <f t="shared" ref="B56:U56" si="20">IF(B$34&lt;=$B$13, $B$5/$B$13, 0)</f>
        <v>2680472.0370134101</v>
      </c>
      <c r="C56" s="2">
        <f t="shared" si="20"/>
        <v>2680472.0370134101</v>
      </c>
      <c r="D56" s="2">
        <f t="shared" si="20"/>
        <v>2680472.0370134101</v>
      </c>
      <c r="E56" s="2">
        <f t="shared" si="20"/>
        <v>2680472.0370134101</v>
      </c>
      <c r="F56" s="2">
        <f t="shared" si="20"/>
        <v>2680472.0370134101</v>
      </c>
      <c r="G56" s="2">
        <f t="shared" si="20"/>
        <v>0</v>
      </c>
      <c r="H56" s="2">
        <f t="shared" si="20"/>
        <v>0</v>
      </c>
      <c r="I56" s="2">
        <f t="shared" si="20"/>
        <v>0</v>
      </c>
      <c r="J56" s="2">
        <f t="shared" si="20"/>
        <v>0</v>
      </c>
      <c r="K56" s="2">
        <f t="shared" si="20"/>
        <v>0</v>
      </c>
      <c r="L56" s="2">
        <f t="shared" si="20"/>
        <v>0</v>
      </c>
      <c r="M56" s="2">
        <f t="shared" si="20"/>
        <v>0</v>
      </c>
      <c r="N56" s="2">
        <f t="shared" si="20"/>
        <v>0</v>
      </c>
      <c r="O56" s="2">
        <f t="shared" si="20"/>
        <v>0</v>
      </c>
      <c r="P56" s="2">
        <f t="shared" si="20"/>
        <v>0</v>
      </c>
      <c r="Q56" s="2">
        <f t="shared" si="20"/>
        <v>0</v>
      </c>
      <c r="R56" s="2">
        <f t="shared" si="20"/>
        <v>0</v>
      </c>
      <c r="S56" s="2">
        <f t="shared" si="20"/>
        <v>0</v>
      </c>
      <c r="T56" s="2">
        <f t="shared" si="20"/>
        <v>0</v>
      </c>
      <c r="U56" s="2">
        <f t="shared" si="20"/>
        <v>0</v>
      </c>
    </row>
    <row r="57" spans="1:21" x14ac:dyDescent="0.3">
      <c r="A57" t="s">
        <v>93</v>
      </c>
      <c r="B57" s="2">
        <f t="shared" ref="B57:U57" si="21">B55-B56</f>
        <v>-1329031.4103293684</v>
      </c>
      <c r="C57" s="2">
        <f t="shared" si="21"/>
        <v>54437.402831490617</v>
      </c>
      <c r="D57" s="2">
        <f t="shared" si="21"/>
        <v>1546523.9946153234</v>
      </c>
      <c r="E57" s="2">
        <f t="shared" si="21"/>
        <v>1713039.3715604744</v>
      </c>
      <c r="F57" s="2">
        <f t="shared" si="21"/>
        <v>1886215.3635834302</v>
      </c>
      <c r="G57" s="2">
        <f t="shared" si="21"/>
        <v>4746790.4323007148</v>
      </c>
      <c r="H57" s="2">
        <f t="shared" si="21"/>
        <v>4934097.5852727406</v>
      </c>
      <c r="I57" s="2">
        <f t="shared" si="21"/>
        <v>5128897.0243636481</v>
      </c>
      <c r="J57" s="2">
        <f t="shared" si="21"/>
        <v>5331488.4410181958</v>
      </c>
      <c r="K57" s="2">
        <f t="shared" si="21"/>
        <v>5542183.5143389236</v>
      </c>
      <c r="L57" s="2">
        <f t="shared" si="21"/>
        <v>5287352.2206079978</v>
      </c>
      <c r="M57" s="2">
        <f t="shared" si="21"/>
        <v>5496281.8451123163</v>
      </c>
      <c r="N57" s="2">
        <f t="shared" si="21"/>
        <v>5200939.824341584</v>
      </c>
      <c r="O57" s="2">
        <f t="shared" si="21"/>
        <v>5406412.9529952593</v>
      </c>
      <c r="P57" s="2">
        <f t="shared" si="21"/>
        <v>5620105.0067950636</v>
      </c>
      <c r="Q57" s="2">
        <f t="shared" si="21"/>
        <v>5842344.7427468672</v>
      </c>
      <c r="R57" s="2">
        <f t="shared" si="21"/>
        <v>6073474.0681367405</v>
      </c>
      <c r="S57" s="2">
        <f t="shared" si="21"/>
        <v>6313848.5665422119</v>
      </c>
      <c r="T57" s="2">
        <f t="shared" si="21"/>
        <v>6563838.0448838994</v>
      </c>
      <c r="U57" s="2">
        <f t="shared" si="21"/>
        <v>6823827.1023592539</v>
      </c>
    </row>
    <row r="58" spans="1:21" x14ac:dyDescent="0.3">
      <c r="A58" t="s">
        <v>94</v>
      </c>
      <c r="B58" s="2">
        <f t="shared" ref="B58:U58" si="22">IF(B57&gt;0, B57*$B$14, 0)</f>
        <v>0</v>
      </c>
      <c r="C58" s="2">
        <f t="shared" si="22"/>
        <v>10207.013030904491</v>
      </c>
      <c r="D58" s="2">
        <f t="shared" si="22"/>
        <v>289973.2489903731</v>
      </c>
      <c r="E58" s="2">
        <f t="shared" si="22"/>
        <v>321194.88216758892</v>
      </c>
      <c r="F58" s="2">
        <f t="shared" si="22"/>
        <v>353665.38067189313</v>
      </c>
      <c r="G58" s="2">
        <f t="shared" si="22"/>
        <v>890023.20605638402</v>
      </c>
      <c r="H58" s="2">
        <f t="shared" si="22"/>
        <v>925143.29723863886</v>
      </c>
      <c r="I58" s="2">
        <f t="shared" si="22"/>
        <v>961668.19206818403</v>
      </c>
      <c r="J58" s="2">
        <f t="shared" si="22"/>
        <v>999654.08269091172</v>
      </c>
      <c r="K58" s="2">
        <f t="shared" si="22"/>
        <v>1039159.4089385482</v>
      </c>
      <c r="L58" s="2">
        <f t="shared" si="22"/>
        <v>991378.5413639996</v>
      </c>
      <c r="M58" s="2">
        <f t="shared" si="22"/>
        <v>1030552.8459585593</v>
      </c>
      <c r="N58" s="2">
        <f t="shared" si="22"/>
        <v>975176.217064047</v>
      </c>
      <c r="O58" s="2">
        <f t="shared" si="22"/>
        <v>1013702.4286866111</v>
      </c>
      <c r="P58" s="2">
        <f t="shared" si="22"/>
        <v>1053769.6887740744</v>
      </c>
      <c r="Q58" s="2">
        <f t="shared" si="22"/>
        <v>1095439.6392650376</v>
      </c>
      <c r="R58" s="2">
        <f t="shared" si="22"/>
        <v>1138776.3877756388</v>
      </c>
      <c r="S58" s="2">
        <f t="shared" si="22"/>
        <v>1183846.6062266647</v>
      </c>
      <c r="T58" s="2">
        <f t="shared" si="22"/>
        <v>1230719.6334157311</v>
      </c>
      <c r="U58" s="2">
        <f t="shared" si="22"/>
        <v>1279467.5816923601</v>
      </c>
    </row>
    <row r="59" spans="1:21" x14ac:dyDescent="0.3">
      <c r="A59" t="s">
        <v>369</v>
      </c>
      <c r="B59" s="2">
        <f t="shared" ref="B59:U59" si="23">B57-B58</f>
        <v>-1329031.4103293684</v>
      </c>
      <c r="C59" s="2">
        <f t="shared" si="23"/>
        <v>44230.389800586127</v>
      </c>
      <c r="D59" s="2">
        <f t="shared" si="23"/>
        <v>1256550.7456249502</v>
      </c>
      <c r="E59" s="2">
        <f t="shared" si="23"/>
        <v>1391844.4893928855</v>
      </c>
      <c r="F59" s="2">
        <f t="shared" si="23"/>
        <v>1532549.9829115369</v>
      </c>
      <c r="G59" s="2">
        <f t="shared" si="23"/>
        <v>3856767.2262443309</v>
      </c>
      <c r="H59" s="2">
        <f t="shared" si="23"/>
        <v>4008954.2880341019</v>
      </c>
      <c r="I59" s="2">
        <f t="shared" si="23"/>
        <v>4167228.8322954644</v>
      </c>
      <c r="J59" s="2">
        <f t="shared" si="23"/>
        <v>4331834.3583272845</v>
      </c>
      <c r="K59" s="2">
        <f t="shared" si="23"/>
        <v>4503024.1054003751</v>
      </c>
      <c r="L59" s="2">
        <f t="shared" si="23"/>
        <v>4295973.6792439986</v>
      </c>
      <c r="M59" s="2">
        <f t="shared" si="23"/>
        <v>4465728.9991537575</v>
      </c>
      <c r="N59" s="2">
        <f t="shared" si="23"/>
        <v>4225763.6072775368</v>
      </c>
      <c r="O59" s="2">
        <f t="shared" si="23"/>
        <v>4392710.524308648</v>
      </c>
      <c r="P59" s="2">
        <f t="shared" si="23"/>
        <v>4566335.3180209892</v>
      </c>
      <c r="Q59" s="2">
        <f t="shared" si="23"/>
        <v>4746905.1034818292</v>
      </c>
      <c r="R59" s="2">
        <f t="shared" si="23"/>
        <v>4934697.6803611014</v>
      </c>
      <c r="S59" s="2">
        <f t="shared" si="23"/>
        <v>5130001.960315547</v>
      </c>
      <c r="T59" s="2">
        <f t="shared" si="23"/>
        <v>5333118.4114681687</v>
      </c>
      <c r="U59" s="2">
        <f t="shared" si="23"/>
        <v>5544359.5206668936</v>
      </c>
    </row>
    <row r="60" spans="1:21" x14ac:dyDescent="0.3">
      <c r="A60" t="s">
        <v>95</v>
      </c>
      <c r="B60" s="2">
        <f t="shared" ref="B60:U60" si="24">IF(B$34=20, $B$6+$B$11, 0)</f>
        <v>0</v>
      </c>
      <c r="C60" s="2">
        <f t="shared" si="24"/>
        <v>0</v>
      </c>
      <c r="D60" s="2">
        <f t="shared" si="24"/>
        <v>0</v>
      </c>
      <c r="E60" s="2">
        <f t="shared" si="24"/>
        <v>0</v>
      </c>
      <c r="F60" s="2">
        <f t="shared" si="24"/>
        <v>0</v>
      </c>
      <c r="G60" s="2">
        <f t="shared" si="24"/>
        <v>0</v>
      </c>
      <c r="H60" s="2">
        <f t="shared" si="24"/>
        <v>0</v>
      </c>
      <c r="I60" s="2">
        <f t="shared" si="24"/>
        <v>0</v>
      </c>
      <c r="J60" s="2">
        <f t="shared" si="24"/>
        <v>0</v>
      </c>
      <c r="K60" s="2">
        <f t="shared" si="24"/>
        <v>0</v>
      </c>
      <c r="L60" s="2">
        <f t="shared" si="24"/>
        <v>0</v>
      </c>
      <c r="M60" s="2">
        <f t="shared" si="24"/>
        <v>0</v>
      </c>
      <c r="N60" s="2">
        <f t="shared" si="24"/>
        <v>0</v>
      </c>
      <c r="O60" s="2">
        <f t="shared" si="24"/>
        <v>0</v>
      </c>
      <c r="P60" s="2">
        <f t="shared" si="24"/>
        <v>0</v>
      </c>
      <c r="Q60" s="2">
        <f t="shared" si="24"/>
        <v>0</v>
      </c>
      <c r="R60" s="2">
        <f t="shared" si="24"/>
        <v>0</v>
      </c>
      <c r="S60" s="2">
        <f t="shared" si="24"/>
        <v>0</v>
      </c>
      <c r="T60" s="2">
        <f t="shared" si="24"/>
        <v>0</v>
      </c>
      <c r="U60" s="2">
        <f t="shared" si="24"/>
        <v>3255311.2833213075</v>
      </c>
    </row>
    <row r="61" spans="1:21" s="1" customFormat="1" x14ac:dyDescent="0.3">
      <c r="A61" s="1" t="s">
        <v>96</v>
      </c>
      <c r="B61" s="1">
        <f t="shared" ref="B61:U61" si="25">B36/$B$5</f>
        <v>0.67024650315015077</v>
      </c>
      <c r="C61" s="1">
        <f t="shared" si="25"/>
        <v>0.93066275436303669</v>
      </c>
      <c r="D61" s="1">
        <f t="shared" si="25"/>
        <v>1.2108475650372035</v>
      </c>
      <c r="E61" s="1">
        <f t="shared" si="25"/>
        <v>1.259090123406438</v>
      </c>
      <c r="F61" s="1">
        <f t="shared" si="25"/>
        <v>1.3092623841104418</v>
      </c>
      <c r="G61" s="1">
        <f t="shared" si="25"/>
        <v>1.3614415352426057</v>
      </c>
      <c r="H61" s="1">
        <f t="shared" si="25"/>
        <v>1.4157078524200564</v>
      </c>
      <c r="I61" s="1">
        <f t="shared" si="25"/>
        <v>1.4721448222846045</v>
      </c>
      <c r="J61" s="1">
        <f t="shared" si="25"/>
        <v>1.5308392709437353</v>
      </c>
      <c r="K61" s="1">
        <f t="shared" si="25"/>
        <v>1.591881497549231</v>
      </c>
      <c r="L61" s="1">
        <f t="shared" si="25"/>
        <v>1.5721736436196678</v>
      </c>
      <c r="M61" s="1">
        <f t="shared" si="25"/>
        <v>1.6348692451322007</v>
      </c>
      <c r="N61" s="1">
        <f t="shared" si="25"/>
        <v>1.6100924527066554</v>
      </c>
      <c r="O61" s="1">
        <f t="shared" si="25"/>
        <v>1.6743048065826682</v>
      </c>
      <c r="P61" s="1">
        <f t="shared" si="25"/>
        <v>1.7410856546137208</v>
      </c>
      <c r="Q61" s="1">
        <f t="shared" si="25"/>
        <v>1.8105377365660162</v>
      </c>
      <c r="R61" s="1">
        <f t="shared" si="25"/>
        <v>1.882767901796403</v>
      </c>
      <c r="S61" s="1">
        <f t="shared" si="25"/>
        <v>1.9578872736360056</v>
      </c>
      <c r="T61" s="1">
        <f t="shared" si="25"/>
        <v>2.0360114203491921</v>
      </c>
      <c r="U61" s="1">
        <f t="shared" si="25"/>
        <v>2.117260532930906</v>
      </c>
    </row>
    <row r="62" spans="1:21" x14ac:dyDescent="0.3">
      <c r="A62" s="1" t="s">
        <v>97</v>
      </c>
      <c r="B62" s="8">
        <f t="shared" ref="B62:U62" si="26">B59+B56+B60</f>
        <v>1351440.6266840417</v>
      </c>
      <c r="C62" s="8">
        <f t="shared" si="26"/>
        <v>2724702.4268139964</v>
      </c>
      <c r="D62" s="8">
        <f t="shared" si="26"/>
        <v>3937022.7826383603</v>
      </c>
      <c r="E62" s="8">
        <f t="shared" si="26"/>
        <v>4072316.5264062956</v>
      </c>
      <c r="F62" s="8">
        <f t="shared" si="26"/>
        <v>4213022.0199249471</v>
      </c>
      <c r="G62" s="8">
        <f t="shared" si="26"/>
        <v>3856767.2262443309</v>
      </c>
      <c r="H62" s="8">
        <f t="shared" si="26"/>
        <v>4008954.2880341019</v>
      </c>
      <c r="I62" s="8">
        <f t="shared" si="26"/>
        <v>4167228.8322954644</v>
      </c>
      <c r="J62" s="8">
        <f t="shared" si="26"/>
        <v>4331834.3583272845</v>
      </c>
      <c r="K62" s="8">
        <f t="shared" si="26"/>
        <v>4503024.1054003751</v>
      </c>
      <c r="L62" s="8">
        <f t="shared" si="26"/>
        <v>4295973.6792439986</v>
      </c>
      <c r="M62" s="8">
        <f t="shared" si="26"/>
        <v>4465728.9991537575</v>
      </c>
      <c r="N62" s="8">
        <f t="shared" si="26"/>
        <v>4225763.6072775368</v>
      </c>
      <c r="O62" s="8">
        <f t="shared" si="26"/>
        <v>4392710.524308648</v>
      </c>
      <c r="P62" s="8">
        <f t="shared" si="26"/>
        <v>4566335.3180209892</v>
      </c>
      <c r="Q62" s="8">
        <f t="shared" si="26"/>
        <v>4746905.1034818292</v>
      </c>
      <c r="R62" s="8">
        <f t="shared" si="26"/>
        <v>4934697.6803611014</v>
      </c>
      <c r="S62" s="8">
        <f t="shared" si="26"/>
        <v>5130001.960315547</v>
      </c>
      <c r="T62" s="8">
        <f t="shared" si="26"/>
        <v>5333118.4114681687</v>
      </c>
      <c r="U62" s="8">
        <f t="shared" si="26"/>
        <v>8799670.8039882015</v>
      </c>
    </row>
    <row r="63" spans="1:21" x14ac:dyDescent="0.3">
      <c r="A63" s="1" t="s">
        <v>98</v>
      </c>
      <c r="B63" s="8">
        <f>-$B$10+B62</f>
        <v>-18595292.036751248</v>
      </c>
      <c r="C63" s="8">
        <f t="shared" ref="C63:T63" si="27">B63+C62</f>
        <v>-15870589.609937251</v>
      </c>
      <c r="D63" s="8">
        <f t="shared" si="27"/>
        <v>-11933566.827298891</v>
      </c>
      <c r="E63" s="8">
        <f t="shared" si="27"/>
        <v>-7861250.3008925952</v>
      </c>
      <c r="F63" s="8">
        <f t="shared" si="27"/>
        <v>-3648228.2809676481</v>
      </c>
      <c r="G63" s="8">
        <f t="shared" si="27"/>
        <v>208538.94527668273</v>
      </c>
      <c r="H63" s="8">
        <f t="shared" si="27"/>
        <v>4217493.2333107851</v>
      </c>
      <c r="I63" s="8">
        <f t="shared" si="27"/>
        <v>8384722.0656062495</v>
      </c>
      <c r="J63" s="8">
        <f t="shared" si="27"/>
        <v>12716556.423933534</v>
      </c>
      <c r="K63" s="8">
        <f t="shared" si="27"/>
        <v>17219580.529333908</v>
      </c>
      <c r="L63" s="8">
        <f t="shared" si="27"/>
        <v>21515554.208577909</v>
      </c>
      <c r="M63" s="8">
        <f t="shared" si="27"/>
        <v>25981283.207731664</v>
      </c>
      <c r="N63" s="8">
        <f t="shared" si="27"/>
        <v>30207046.815009199</v>
      </c>
      <c r="O63" s="8">
        <f t="shared" si="27"/>
        <v>34599757.339317843</v>
      </c>
      <c r="P63" s="8">
        <f t="shared" si="27"/>
        <v>39166092.657338835</v>
      </c>
      <c r="Q63" s="8">
        <f t="shared" si="27"/>
        <v>43912997.760820664</v>
      </c>
      <c r="R63" s="8">
        <f t="shared" si="27"/>
        <v>48847695.441181764</v>
      </c>
      <c r="S63" s="8">
        <f t="shared" si="27"/>
        <v>53977697.401497312</v>
      </c>
      <c r="T63" s="8">
        <f t="shared" si="27"/>
        <v>59310815.812965482</v>
      </c>
      <c r="U63" s="8">
        <f>T63+U62</f>
        <v>68110486.616953686</v>
      </c>
    </row>
    <row r="65" spans="1:24" x14ac:dyDescent="0.3">
      <c r="A65" s="16" t="s">
        <v>99</v>
      </c>
    </row>
    <row r="66" spans="1:24" x14ac:dyDescent="0.3">
      <c r="A66" s="16" t="s">
        <v>100</v>
      </c>
      <c r="B66" s="16">
        <v>-2</v>
      </c>
      <c r="C66" s="16">
        <v>-1</v>
      </c>
      <c r="D66" s="16">
        <v>0</v>
      </c>
      <c r="E66" s="16">
        <v>1</v>
      </c>
      <c r="F66" s="16">
        <v>2</v>
      </c>
      <c r="G66" s="16">
        <v>3</v>
      </c>
      <c r="H66" s="16">
        <v>4</v>
      </c>
      <c r="I66" s="16">
        <v>5</v>
      </c>
      <c r="J66" s="16">
        <v>6</v>
      </c>
      <c r="K66" s="16">
        <v>7</v>
      </c>
      <c r="L66" s="16">
        <v>8</v>
      </c>
      <c r="M66" s="16">
        <v>9</v>
      </c>
      <c r="N66" s="16">
        <v>10</v>
      </c>
      <c r="O66" s="16">
        <v>11</v>
      </c>
      <c r="P66" s="16">
        <v>12</v>
      </c>
      <c r="Q66" s="16">
        <v>13</v>
      </c>
      <c r="R66" s="16">
        <v>14</v>
      </c>
      <c r="S66" s="16">
        <v>15</v>
      </c>
      <c r="T66" s="16">
        <v>16</v>
      </c>
      <c r="U66" s="16">
        <v>17</v>
      </c>
      <c r="V66" s="16">
        <v>18</v>
      </c>
      <c r="W66" s="16">
        <v>19</v>
      </c>
      <c r="X66" s="16">
        <v>20</v>
      </c>
    </row>
    <row r="67" spans="1:24" x14ac:dyDescent="0.3">
      <c r="A67" t="s">
        <v>101</v>
      </c>
      <c r="B67" s="20">
        <f>N5/1000000</f>
        <v>-5.9840197990305874</v>
      </c>
      <c r="C67" s="20">
        <f>N6/1000000</f>
        <v>-9.9733663317176457</v>
      </c>
      <c r="D67" s="20">
        <f>N7/1000000</f>
        <v>-3.9893465326870587</v>
      </c>
      <c r="E67" s="20">
        <f t="shared" ref="E67:X67" si="28">B62/1000000</f>
        <v>1.3514406266840417</v>
      </c>
      <c r="F67" s="20">
        <f t="shared" si="28"/>
        <v>2.7247024268139963</v>
      </c>
      <c r="G67" s="20">
        <f t="shared" si="28"/>
        <v>3.9370227826383601</v>
      </c>
      <c r="H67" s="20">
        <f t="shared" si="28"/>
        <v>4.0723165264062953</v>
      </c>
      <c r="I67" s="20">
        <f t="shared" si="28"/>
        <v>4.2130220199249466</v>
      </c>
      <c r="J67" s="20">
        <f t="shared" si="28"/>
        <v>3.8567672262443309</v>
      </c>
      <c r="K67" s="20">
        <f t="shared" si="28"/>
        <v>4.0089542880341016</v>
      </c>
      <c r="L67" s="20">
        <f t="shared" si="28"/>
        <v>4.1672288322954643</v>
      </c>
      <c r="M67" s="20">
        <f t="shared" si="28"/>
        <v>4.331834358327284</v>
      </c>
      <c r="N67" s="20">
        <f t="shared" si="28"/>
        <v>4.5030241054003755</v>
      </c>
      <c r="O67" s="20">
        <f t="shared" si="28"/>
        <v>4.2959736792439989</v>
      </c>
      <c r="P67" s="20">
        <f t="shared" si="28"/>
        <v>4.4657289991537574</v>
      </c>
      <c r="Q67" s="20">
        <f t="shared" si="28"/>
        <v>4.2257636072775364</v>
      </c>
      <c r="R67" s="20">
        <f t="shared" si="28"/>
        <v>4.3927105243086482</v>
      </c>
      <c r="S67" s="20">
        <f t="shared" si="28"/>
        <v>4.5663353180209896</v>
      </c>
      <c r="T67" s="20">
        <f t="shared" si="28"/>
        <v>4.7469051034818293</v>
      </c>
      <c r="U67" s="20">
        <f t="shared" si="28"/>
        <v>4.9346976803611016</v>
      </c>
      <c r="V67" s="20">
        <f t="shared" si="28"/>
        <v>5.1300019603155471</v>
      </c>
      <c r="W67" s="20">
        <f t="shared" si="28"/>
        <v>5.3331184114681687</v>
      </c>
      <c r="X67" s="20">
        <f t="shared" si="28"/>
        <v>8.7996708039882012</v>
      </c>
    </row>
    <row r="68" spans="1:24" x14ac:dyDescent="0.3">
      <c r="A68" t="s">
        <v>102</v>
      </c>
      <c r="B68" s="20">
        <f>B67</f>
        <v>-5.9840197990305874</v>
      </c>
      <c r="C68" s="20">
        <f t="shared" ref="C68:X68" si="29">B68+C67</f>
        <v>-15.957386130748233</v>
      </c>
      <c r="D68" s="20">
        <f t="shared" si="29"/>
        <v>-19.946732663435291</v>
      </c>
      <c r="E68" s="20">
        <f t="shared" si="29"/>
        <v>-18.59529203675125</v>
      </c>
      <c r="F68" s="20">
        <f t="shared" si="29"/>
        <v>-15.870589609937253</v>
      </c>
      <c r="G68" s="20">
        <f t="shared" si="29"/>
        <v>-11.933566827298893</v>
      </c>
      <c r="H68" s="20">
        <f t="shared" si="29"/>
        <v>-7.861250300892598</v>
      </c>
      <c r="I68" s="20">
        <f t="shared" si="29"/>
        <v>-3.6482282809676514</v>
      </c>
      <c r="J68" s="20">
        <f t="shared" si="29"/>
        <v>0.20853894527667949</v>
      </c>
      <c r="K68" s="20">
        <f t="shared" si="29"/>
        <v>4.2174932333107815</v>
      </c>
      <c r="L68" s="20">
        <f t="shared" si="29"/>
        <v>8.3847220656062458</v>
      </c>
      <c r="M68" s="20">
        <f t="shared" si="29"/>
        <v>12.716556423933529</v>
      </c>
      <c r="N68" s="20">
        <f t="shared" si="29"/>
        <v>17.219580529333903</v>
      </c>
      <c r="O68" s="20">
        <f t="shared" si="29"/>
        <v>21.515554208577903</v>
      </c>
      <c r="P68" s="20">
        <f t="shared" si="29"/>
        <v>25.981283207731661</v>
      </c>
      <c r="Q68" s="20">
        <f t="shared" si="29"/>
        <v>30.207046815009196</v>
      </c>
      <c r="R68" s="20">
        <f t="shared" si="29"/>
        <v>34.599757339317847</v>
      </c>
      <c r="S68" s="20">
        <f t="shared" si="29"/>
        <v>39.166092657338837</v>
      </c>
      <c r="T68" s="20">
        <f t="shared" si="29"/>
        <v>43.912997760820666</v>
      </c>
      <c r="U68" s="20">
        <f t="shared" si="29"/>
        <v>48.84769544118177</v>
      </c>
      <c r="V68" s="20">
        <f t="shared" si="29"/>
        <v>53.977697401497316</v>
      </c>
      <c r="W68" s="20">
        <f t="shared" si="29"/>
        <v>59.310815812965487</v>
      </c>
      <c r="X68" s="20">
        <f t="shared" si="29"/>
        <v>68.110486616953693</v>
      </c>
    </row>
    <row r="70" spans="1:24" x14ac:dyDescent="0.3">
      <c r="A70" s="16" t="s">
        <v>103</v>
      </c>
    </row>
    <row r="71" spans="1:24" x14ac:dyDescent="0.3">
      <c r="A71" s="16" t="s">
        <v>104</v>
      </c>
      <c r="B71" s="17">
        <f>B67 + NPV(B15, C67:X67)</f>
        <v>14.864690543887011</v>
      </c>
      <c r="C71" s="20"/>
      <c r="D71" s="19"/>
    </row>
    <row r="72" spans="1:24" x14ac:dyDescent="0.3">
      <c r="A72" s="1" t="s">
        <v>374</v>
      </c>
      <c r="B72" s="44">
        <f>G67*1000000/$B$10</f>
        <v>0.1973768260230101</v>
      </c>
    </row>
    <row r="73" spans="1:24" x14ac:dyDescent="0.3">
      <c r="A73" s="16" t="s">
        <v>335</v>
      </c>
      <c r="B73" s="18">
        <f>IRR(B67:X67)</f>
        <v>0.1481601412203235</v>
      </c>
    </row>
    <row r="74" spans="1:24" x14ac:dyDescent="0.3">
      <c r="A74" s="16" t="s">
        <v>373</v>
      </c>
      <c r="B74" s="59">
        <f>(B54/0.6)/B18</f>
        <v>405.26442515099257</v>
      </c>
    </row>
    <row r="75" spans="1:24" x14ac:dyDescent="0.3">
      <c r="A75" s="1"/>
    </row>
  </sheetData>
  <mergeCells count="1">
    <mergeCell ref="A1:X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E1D9-0BE1-4BD5-A49C-250C34714D7D}">
  <dimension ref="A1:F30"/>
  <sheetViews>
    <sheetView tabSelected="1" topLeftCell="A11" zoomScale="82" workbookViewId="0">
      <selection activeCell="A18" sqref="A18"/>
    </sheetView>
  </sheetViews>
  <sheetFormatPr defaultRowHeight="14.4" x14ac:dyDescent="0.3"/>
  <cols>
    <col min="1" max="1" width="30" customWidth="1"/>
    <col min="2" max="2" width="25" customWidth="1"/>
    <col min="3" max="3" width="20" customWidth="1"/>
    <col min="4" max="4" width="25" customWidth="1"/>
    <col min="5" max="5" width="20" customWidth="1"/>
    <col min="6" max="6" width="25" customWidth="1"/>
  </cols>
  <sheetData>
    <row r="1" spans="1:6" ht="18" x14ac:dyDescent="0.3">
      <c r="A1" s="93" t="s">
        <v>337</v>
      </c>
      <c r="B1" s="92"/>
      <c r="C1" s="92"/>
      <c r="D1" s="92"/>
      <c r="E1" s="92"/>
      <c r="F1" s="92"/>
    </row>
    <row r="3" spans="1:6" x14ac:dyDescent="0.3">
      <c r="A3" s="16" t="s">
        <v>338</v>
      </c>
    </row>
    <row r="4" spans="1:6" x14ac:dyDescent="0.3">
      <c r="A4" s="45" t="s">
        <v>339</v>
      </c>
      <c r="B4" s="45" t="s">
        <v>340</v>
      </c>
      <c r="C4" s="45" t="s">
        <v>341</v>
      </c>
      <c r="D4" s="45" t="s">
        <v>342</v>
      </c>
      <c r="E4" s="45" t="s">
        <v>343</v>
      </c>
      <c r="F4" s="45" t="s">
        <v>344</v>
      </c>
    </row>
    <row r="5" spans="1:6" x14ac:dyDescent="0.3">
      <c r="A5" t="s">
        <v>345</v>
      </c>
      <c r="B5" s="46">
        <v>12000</v>
      </c>
      <c r="C5">
        <v>1</v>
      </c>
      <c r="D5">
        <v>4</v>
      </c>
      <c r="E5">
        <f t="shared" ref="E5:E13" si="0">C5*D5</f>
        <v>4</v>
      </c>
      <c r="F5" s="46">
        <f t="shared" ref="F5:F13" si="1">B5*E5</f>
        <v>48000</v>
      </c>
    </row>
    <row r="6" spans="1:6" x14ac:dyDescent="0.3">
      <c r="A6" t="s">
        <v>346</v>
      </c>
      <c r="B6" s="46">
        <v>7500</v>
      </c>
      <c r="C6">
        <v>2</v>
      </c>
      <c r="D6">
        <v>4</v>
      </c>
      <c r="E6">
        <f t="shared" si="0"/>
        <v>8</v>
      </c>
      <c r="F6" s="46">
        <f t="shared" si="1"/>
        <v>60000</v>
      </c>
    </row>
    <row r="7" spans="1:6" x14ac:dyDescent="0.3">
      <c r="A7" t="s">
        <v>347</v>
      </c>
      <c r="B7" s="46">
        <v>6000</v>
      </c>
      <c r="C7">
        <v>8</v>
      </c>
      <c r="D7">
        <v>4</v>
      </c>
      <c r="E7">
        <f t="shared" si="0"/>
        <v>32</v>
      </c>
      <c r="F7" s="46">
        <f t="shared" si="1"/>
        <v>192000</v>
      </c>
    </row>
    <row r="8" spans="1:6" x14ac:dyDescent="0.3">
      <c r="A8" t="s">
        <v>348</v>
      </c>
      <c r="B8" s="46">
        <v>7500</v>
      </c>
      <c r="C8">
        <v>2</v>
      </c>
      <c r="D8">
        <v>4</v>
      </c>
      <c r="E8">
        <f t="shared" si="0"/>
        <v>8</v>
      </c>
      <c r="F8" s="46">
        <f t="shared" si="1"/>
        <v>60000</v>
      </c>
    </row>
    <row r="9" spans="1:6" x14ac:dyDescent="0.3">
      <c r="A9" t="s">
        <v>349</v>
      </c>
      <c r="B9" s="46">
        <v>7500</v>
      </c>
      <c r="C9">
        <v>2</v>
      </c>
      <c r="D9">
        <v>4</v>
      </c>
      <c r="E9">
        <f t="shared" si="0"/>
        <v>8</v>
      </c>
      <c r="F9" s="46">
        <f t="shared" si="1"/>
        <v>60000</v>
      </c>
    </row>
    <row r="10" spans="1:6" x14ac:dyDescent="0.3">
      <c r="A10" t="s">
        <v>350</v>
      </c>
      <c r="B10" s="46">
        <v>6500</v>
      </c>
      <c r="C10">
        <v>2</v>
      </c>
      <c r="D10">
        <v>4</v>
      </c>
      <c r="E10">
        <f t="shared" si="0"/>
        <v>8</v>
      </c>
      <c r="F10" s="46">
        <f t="shared" si="1"/>
        <v>52000</v>
      </c>
    </row>
    <row r="11" spans="1:6" x14ac:dyDescent="0.3">
      <c r="A11" t="s">
        <v>351</v>
      </c>
      <c r="B11" s="46">
        <v>7000</v>
      </c>
      <c r="C11">
        <v>1</v>
      </c>
      <c r="D11">
        <v>4</v>
      </c>
      <c r="E11">
        <f t="shared" si="0"/>
        <v>4</v>
      </c>
      <c r="F11" s="46">
        <f t="shared" si="1"/>
        <v>28000</v>
      </c>
    </row>
    <row r="12" spans="1:6" x14ac:dyDescent="0.3">
      <c r="A12" t="s">
        <v>352</v>
      </c>
      <c r="B12" s="46">
        <v>5000</v>
      </c>
      <c r="C12">
        <v>1</v>
      </c>
      <c r="D12">
        <v>4</v>
      </c>
      <c r="E12">
        <f t="shared" si="0"/>
        <v>4</v>
      </c>
      <c r="F12" s="46">
        <f t="shared" si="1"/>
        <v>20000</v>
      </c>
    </row>
    <row r="13" spans="1:6" x14ac:dyDescent="0.3">
      <c r="A13" t="s">
        <v>353</v>
      </c>
      <c r="B13" s="46">
        <v>3000</v>
      </c>
      <c r="C13">
        <v>3</v>
      </c>
      <c r="D13">
        <v>4</v>
      </c>
      <c r="E13">
        <f t="shared" si="0"/>
        <v>12</v>
      </c>
      <c r="F13" s="46">
        <f t="shared" si="1"/>
        <v>36000</v>
      </c>
    </row>
    <row r="14" spans="1:6" x14ac:dyDescent="0.3">
      <c r="A14" s="16" t="s">
        <v>354</v>
      </c>
      <c r="B14" s="46"/>
      <c r="C14" s="16">
        <f>SUM(C5:C13)</f>
        <v>22</v>
      </c>
      <c r="D14" s="46"/>
      <c r="E14" s="16">
        <f>SUM(E5:E13)</f>
        <v>88</v>
      </c>
      <c r="F14" s="47">
        <f>SUM(F5:F13)</f>
        <v>556000</v>
      </c>
    </row>
    <row r="15" spans="1:6" x14ac:dyDescent="0.3">
      <c r="B15" s="46"/>
      <c r="D15" s="46"/>
    </row>
    <row r="16" spans="1:6" x14ac:dyDescent="0.3">
      <c r="A16" s="16" t="s">
        <v>355</v>
      </c>
      <c r="B16" s="46"/>
      <c r="D16" s="46"/>
    </row>
    <row r="17" spans="1:4" x14ac:dyDescent="0.3">
      <c r="A17" s="45" t="s">
        <v>339</v>
      </c>
      <c r="B17" s="45" t="s">
        <v>340</v>
      </c>
      <c r="C17" s="45" t="s">
        <v>343</v>
      </c>
      <c r="D17" s="45" t="s">
        <v>344</v>
      </c>
    </row>
    <row r="18" spans="1:4" x14ac:dyDescent="0.3">
      <c r="A18" t="s">
        <v>356</v>
      </c>
      <c r="B18" s="46">
        <v>28000</v>
      </c>
      <c r="C18">
        <v>1</v>
      </c>
      <c r="D18" s="46">
        <f t="shared" ref="D18:D23" si="2">B18*C18</f>
        <v>28000</v>
      </c>
    </row>
    <row r="19" spans="1:4" x14ac:dyDescent="0.3">
      <c r="A19" t="s">
        <v>357</v>
      </c>
      <c r="B19" s="46">
        <v>20000</v>
      </c>
      <c r="C19">
        <v>5</v>
      </c>
      <c r="D19" s="46">
        <f t="shared" si="2"/>
        <v>100000</v>
      </c>
    </row>
    <row r="20" spans="1:4" x14ac:dyDescent="0.3">
      <c r="A20" t="s">
        <v>358</v>
      </c>
      <c r="B20" s="46">
        <v>15000</v>
      </c>
      <c r="C20">
        <v>4</v>
      </c>
      <c r="D20" s="46">
        <f t="shared" si="2"/>
        <v>60000</v>
      </c>
    </row>
    <row r="21" spans="1:4" x14ac:dyDescent="0.3">
      <c r="A21" t="s">
        <v>359</v>
      </c>
      <c r="B21" s="46">
        <v>8000</v>
      </c>
      <c r="C21">
        <v>4</v>
      </c>
      <c r="D21" s="46">
        <f t="shared" si="2"/>
        <v>32000</v>
      </c>
    </row>
    <row r="22" spans="1:4" x14ac:dyDescent="0.3">
      <c r="A22" t="s">
        <v>360</v>
      </c>
      <c r="B22" s="46">
        <v>7000</v>
      </c>
      <c r="C22">
        <v>4</v>
      </c>
      <c r="D22" s="46">
        <f t="shared" si="2"/>
        <v>28000</v>
      </c>
    </row>
    <row r="23" spans="1:4" x14ac:dyDescent="0.3">
      <c r="A23" t="s">
        <v>361</v>
      </c>
      <c r="B23" s="46">
        <v>3000</v>
      </c>
      <c r="C23">
        <v>6</v>
      </c>
      <c r="D23" s="46">
        <f t="shared" si="2"/>
        <v>18000</v>
      </c>
    </row>
    <row r="24" spans="1:4" x14ac:dyDescent="0.3">
      <c r="A24" s="16" t="s">
        <v>362</v>
      </c>
      <c r="B24" s="46"/>
      <c r="C24" s="16">
        <f>SUM(C18:C23)</f>
        <v>24</v>
      </c>
      <c r="D24" s="47">
        <f>SUM(D18:D23)</f>
        <v>266000</v>
      </c>
    </row>
    <row r="25" spans="1:4" x14ac:dyDescent="0.3">
      <c r="C25" s="46"/>
    </row>
    <row r="26" spans="1:4" x14ac:dyDescent="0.3">
      <c r="A26" s="16" t="s">
        <v>363</v>
      </c>
      <c r="C26" s="46"/>
    </row>
    <row r="27" spans="1:4" x14ac:dyDescent="0.3">
      <c r="A27" s="45" t="s">
        <v>364</v>
      </c>
      <c r="B27" s="45" t="s">
        <v>365</v>
      </c>
      <c r="C27" s="45" t="s">
        <v>26</v>
      </c>
    </row>
    <row r="28" spans="1:4" x14ac:dyDescent="0.3">
      <c r="A28" t="s">
        <v>366</v>
      </c>
      <c r="B28">
        <f>E14</f>
        <v>88</v>
      </c>
      <c r="C28" s="46">
        <f>F14</f>
        <v>556000</v>
      </c>
    </row>
    <row r="29" spans="1:4" x14ac:dyDescent="0.3">
      <c r="A29" t="s">
        <v>367</v>
      </c>
      <c r="B29">
        <f>C24</f>
        <v>24</v>
      </c>
      <c r="C29" s="46">
        <f>D24</f>
        <v>266000</v>
      </c>
    </row>
    <row r="30" spans="1:4" x14ac:dyDescent="0.3">
      <c r="A30" s="16" t="s">
        <v>368</v>
      </c>
      <c r="B30" s="16">
        <f>SUM(B28:B29)</f>
        <v>112</v>
      </c>
      <c r="C30" s="47">
        <f>SUM(C28:C29)</f>
        <v>822000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2"/>
  <sheetViews>
    <sheetView topLeftCell="A52" zoomScale="94" workbookViewId="0">
      <selection activeCell="B70" sqref="A70:B70"/>
    </sheetView>
  </sheetViews>
  <sheetFormatPr defaultRowHeight="14.4" x14ac:dyDescent="0.3"/>
  <cols>
    <col min="1" max="1" width="25.6640625" customWidth="1"/>
    <col min="2" max="2" width="26.5546875" customWidth="1"/>
    <col min="8" max="8" width="13.88671875" customWidth="1"/>
    <col min="13" max="13" width="22.109375" customWidth="1"/>
    <col min="14" max="14" width="18.5546875" style="51" customWidth="1"/>
    <col min="15" max="15" width="23.44140625" customWidth="1"/>
    <col min="16" max="16" width="13.109375" style="51" customWidth="1"/>
    <col min="17" max="17" width="21.77734375" customWidth="1"/>
    <col min="18" max="18" width="11" bestFit="1" customWidth="1"/>
  </cols>
  <sheetData>
    <row r="1" spans="1:26" x14ac:dyDescent="0.3">
      <c r="A1" s="50" t="s">
        <v>105</v>
      </c>
      <c r="B1" s="50" t="s">
        <v>106</v>
      </c>
      <c r="C1" s="50" t="s">
        <v>107</v>
      </c>
      <c r="D1" s="50" t="s">
        <v>11</v>
      </c>
      <c r="E1" s="50" t="s">
        <v>108</v>
      </c>
      <c r="F1" s="50" t="s">
        <v>109</v>
      </c>
      <c r="G1" s="50" t="s">
        <v>110</v>
      </c>
      <c r="H1" s="50" t="s">
        <v>111</v>
      </c>
      <c r="I1" s="50" t="s">
        <v>112</v>
      </c>
      <c r="J1" s="50" t="s">
        <v>113</v>
      </c>
      <c r="K1" s="50" t="s">
        <v>114</v>
      </c>
      <c r="L1" s="50" t="s">
        <v>115</v>
      </c>
      <c r="M1" s="50" t="s">
        <v>116</v>
      </c>
      <c r="N1" s="50" t="s">
        <v>117</v>
      </c>
      <c r="O1" s="50" t="s">
        <v>118</v>
      </c>
      <c r="P1" s="50" t="s">
        <v>119</v>
      </c>
      <c r="Q1" s="50" t="s">
        <v>120</v>
      </c>
      <c r="R1" s="52"/>
      <c r="S1" s="9"/>
      <c r="T1" s="9"/>
      <c r="U1" s="9"/>
      <c r="V1" s="9"/>
      <c r="W1" s="9"/>
      <c r="X1" s="9"/>
      <c r="Y1" s="9"/>
      <c r="Z1" s="9"/>
    </row>
    <row r="2" spans="1:26" x14ac:dyDescent="0.3">
      <c r="A2" s="53" t="s">
        <v>121</v>
      </c>
      <c r="B2" s="53" t="s">
        <v>122</v>
      </c>
      <c r="C2" s="49">
        <v>5</v>
      </c>
      <c r="D2" s="53" t="s">
        <v>123</v>
      </c>
      <c r="E2" s="53"/>
      <c r="F2" s="53"/>
      <c r="G2" s="53"/>
      <c r="H2" s="49">
        <v>45000</v>
      </c>
      <c r="I2" s="49">
        <v>0</v>
      </c>
      <c r="J2" s="49">
        <v>1</v>
      </c>
      <c r="K2" s="49">
        <v>1.5</v>
      </c>
      <c r="L2" s="49">
        <v>1</v>
      </c>
      <c r="M2" s="49">
        <f t="shared" ref="M2:M33" si="0">IF(ISBLANK(I2), 1.5, I2+J2*K2*L2)</f>
        <v>1.5</v>
      </c>
      <c r="N2" s="49">
        <f t="shared" ref="N2:N8" si="1">H2*M2</f>
        <v>67500</v>
      </c>
      <c r="O2" s="49">
        <v>1.7088161209999999</v>
      </c>
      <c r="P2" s="49">
        <f>N2*O2</f>
        <v>115345.0881675</v>
      </c>
      <c r="Q2" s="53" t="s">
        <v>124</v>
      </c>
      <c r="R2" s="52">
        <f>SUM(P2:P6)</f>
        <v>257074.12631291684</v>
      </c>
      <c r="S2" s="9"/>
      <c r="T2" s="9"/>
      <c r="U2" s="9"/>
      <c r="V2" s="9"/>
      <c r="W2" s="9"/>
      <c r="X2" s="9"/>
      <c r="Y2" s="9"/>
      <c r="Z2" s="9"/>
    </row>
    <row r="3" spans="1:26" x14ac:dyDescent="0.3">
      <c r="A3" s="53" t="s">
        <v>125</v>
      </c>
      <c r="B3" s="53" t="s">
        <v>126</v>
      </c>
      <c r="C3" s="49">
        <v>0.76</v>
      </c>
      <c r="D3" s="53" t="s">
        <v>127</v>
      </c>
      <c r="E3" s="49">
        <v>3.2086000000000001</v>
      </c>
      <c r="F3" s="49">
        <v>0.3236</v>
      </c>
      <c r="G3" s="49">
        <v>6.4500000000000002E-2</v>
      </c>
      <c r="H3" s="49">
        <f t="shared" ref="H3:H27" si="2">IF(ISBLANK(E3), 18000, 10^(E3+F3*LOG10(C3)+G3*(LOG10(C3))^2))</f>
        <v>1482.3389720128016</v>
      </c>
      <c r="I3" s="49">
        <v>0</v>
      </c>
      <c r="J3" s="49">
        <v>1</v>
      </c>
      <c r="K3" s="49">
        <v>1.5</v>
      </c>
      <c r="L3" s="49">
        <v>1</v>
      </c>
      <c r="M3" s="49">
        <f t="shared" si="0"/>
        <v>1.5</v>
      </c>
      <c r="N3" s="49">
        <f t="shared" si="1"/>
        <v>2223.5084580192024</v>
      </c>
      <c r="O3" s="49">
        <v>1.7088161209999999</v>
      </c>
      <c r="P3" s="49">
        <f>N3*O3</f>
        <v>3799.5670982430647</v>
      </c>
      <c r="Q3" s="53" t="s">
        <v>128</v>
      </c>
      <c r="R3" s="52"/>
      <c r="S3" s="9"/>
      <c r="T3" s="9"/>
      <c r="U3" s="9"/>
      <c r="V3" s="9"/>
      <c r="W3" s="9"/>
      <c r="X3" s="9"/>
      <c r="Y3" s="9"/>
      <c r="Z3" s="9"/>
    </row>
    <row r="4" spans="1:26" x14ac:dyDescent="0.3">
      <c r="A4" s="53" t="s">
        <v>129</v>
      </c>
      <c r="B4" s="53" t="s">
        <v>130</v>
      </c>
      <c r="C4" s="49">
        <v>1.5</v>
      </c>
      <c r="D4" s="53" t="s">
        <v>131</v>
      </c>
      <c r="E4" s="49">
        <v>3.5</v>
      </c>
      <c r="F4" s="49">
        <v>0.7</v>
      </c>
      <c r="G4" s="49">
        <v>0</v>
      </c>
      <c r="H4" s="49">
        <f t="shared" si="2"/>
        <v>4200.1411092807493</v>
      </c>
      <c r="I4" s="49">
        <v>1.25</v>
      </c>
      <c r="J4" s="49">
        <v>0.45</v>
      </c>
      <c r="K4" s="49">
        <v>2.1</v>
      </c>
      <c r="L4" s="49">
        <v>1</v>
      </c>
      <c r="M4" s="49">
        <f t="shared" si="0"/>
        <v>2.1950000000000003</v>
      </c>
      <c r="N4" s="49">
        <f t="shared" si="1"/>
        <v>9219.3097348712454</v>
      </c>
      <c r="O4" s="49">
        <v>1.7088161209999999</v>
      </c>
      <c r="P4" s="49">
        <f>N4*O4</f>
        <v>15754.105099440219</v>
      </c>
      <c r="Q4" s="53" t="s">
        <v>132</v>
      </c>
      <c r="R4" s="52"/>
      <c r="S4" s="9"/>
      <c r="T4" s="9"/>
      <c r="U4" s="9"/>
      <c r="V4" s="9"/>
      <c r="W4" s="9"/>
      <c r="X4" s="9"/>
      <c r="Y4" s="9"/>
      <c r="Z4" s="9"/>
    </row>
    <row r="5" spans="1:26" x14ac:dyDescent="0.3">
      <c r="A5" s="53" t="s">
        <v>133</v>
      </c>
      <c r="B5" s="53" t="s">
        <v>134</v>
      </c>
      <c r="C5" s="49">
        <v>15</v>
      </c>
      <c r="D5" s="53" t="s">
        <v>135</v>
      </c>
      <c r="E5" s="49">
        <v>4.0636999999999999</v>
      </c>
      <c r="F5" s="49">
        <v>-0.74160000000000004</v>
      </c>
      <c r="G5" s="49">
        <v>0.155</v>
      </c>
      <c r="H5" s="49">
        <f t="shared" si="2"/>
        <v>2546.2748061072775</v>
      </c>
      <c r="I5" s="49">
        <v>0</v>
      </c>
      <c r="J5" s="49">
        <v>1</v>
      </c>
      <c r="K5" s="49">
        <v>1.5</v>
      </c>
      <c r="L5" s="49">
        <v>1</v>
      </c>
      <c r="M5" s="49">
        <f t="shared" si="0"/>
        <v>1.5</v>
      </c>
      <c r="N5" s="49">
        <f t="shared" si="1"/>
        <v>3819.4122091609161</v>
      </c>
      <c r="O5" s="49">
        <v>1.7088161209999999</v>
      </c>
      <c r="P5" s="49">
        <f>N5*O5</f>
        <v>6526.6731557583971</v>
      </c>
      <c r="Q5" s="53" t="s">
        <v>136</v>
      </c>
      <c r="R5" s="52"/>
      <c r="S5" s="9"/>
      <c r="T5" s="9"/>
      <c r="U5" s="9"/>
      <c r="V5" s="9"/>
      <c r="W5" s="9"/>
      <c r="X5" s="9"/>
      <c r="Y5" s="9"/>
      <c r="Z5" s="9"/>
    </row>
    <row r="6" spans="1:26" x14ac:dyDescent="0.3">
      <c r="A6" s="53" t="s">
        <v>137</v>
      </c>
      <c r="B6" s="53" t="s">
        <v>138</v>
      </c>
      <c r="C6" s="52">
        <v>17.5</v>
      </c>
      <c r="D6" s="53" t="s">
        <v>139</v>
      </c>
      <c r="E6" s="49">
        <v>3.4973999999999998</v>
      </c>
      <c r="F6" s="49">
        <v>0.44850000000000001</v>
      </c>
      <c r="G6" s="49">
        <v>0.1074</v>
      </c>
      <c r="H6" s="49">
        <f t="shared" si="2"/>
        <v>16628.420041632162</v>
      </c>
      <c r="I6" s="49">
        <v>2.25</v>
      </c>
      <c r="J6" s="49">
        <v>1.82</v>
      </c>
      <c r="K6" s="49">
        <v>1</v>
      </c>
      <c r="L6" s="49">
        <v>1</v>
      </c>
      <c r="M6" s="49">
        <f t="shared" si="0"/>
        <v>4.07</v>
      </c>
      <c r="N6" s="49">
        <f t="shared" si="1"/>
        <v>67677.669569442907</v>
      </c>
      <c r="O6" s="49">
        <v>1.7088161209999999</v>
      </c>
      <c r="P6" s="49">
        <f>N6*O6</f>
        <v>115648.69279197516</v>
      </c>
      <c r="Q6" s="53" t="s">
        <v>140</v>
      </c>
      <c r="R6" s="52"/>
      <c r="S6" s="9"/>
      <c r="T6" s="9"/>
      <c r="U6" s="9"/>
      <c r="V6" s="9"/>
      <c r="W6" s="9"/>
      <c r="X6" s="9"/>
      <c r="Y6" s="9"/>
      <c r="Z6" s="9"/>
    </row>
    <row r="7" spans="1:26" x14ac:dyDescent="0.3">
      <c r="A7" s="53" t="s">
        <v>141</v>
      </c>
      <c r="B7" s="53" t="s">
        <v>142</v>
      </c>
      <c r="C7" s="49">
        <v>0.5</v>
      </c>
      <c r="D7" s="53" t="s">
        <v>143</v>
      </c>
      <c r="E7" s="52">
        <v>3.6061999999999999</v>
      </c>
      <c r="F7" s="52">
        <v>0.26590000000000003</v>
      </c>
      <c r="G7" s="52">
        <v>0.19819999999999999</v>
      </c>
      <c r="H7" s="49">
        <f t="shared" si="2"/>
        <v>3500.3931195060263</v>
      </c>
      <c r="I7" s="49">
        <v>0</v>
      </c>
      <c r="J7" s="49">
        <v>1</v>
      </c>
      <c r="K7" s="49">
        <v>1.5</v>
      </c>
      <c r="L7" s="49">
        <v>1</v>
      </c>
      <c r="M7" s="49">
        <f t="shared" si="0"/>
        <v>1.5</v>
      </c>
      <c r="N7" s="49">
        <f t="shared" si="1"/>
        <v>5250.5896792590393</v>
      </c>
      <c r="O7" s="49">
        <v>1.7088161209999999</v>
      </c>
      <c r="P7" s="49">
        <v>3625</v>
      </c>
      <c r="Q7" s="53" t="s">
        <v>144</v>
      </c>
      <c r="R7" s="55" t="s">
        <v>145</v>
      </c>
      <c r="S7" s="9"/>
      <c r="T7" s="9"/>
      <c r="U7" s="9"/>
      <c r="V7" s="9"/>
      <c r="W7" s="9"/>
      <c r="X7" s="9"/>
      <c r="Y7" s="9"/>
      <c r="Z7" s="9"/>
    </row>
    <row r="8" spans="1:26" x14ac:dyDescent="0.3">
      <c r="A8" s="53" t="s">
        <v>146</v>
      </c>
      <c r="B8" s="53" t="s">
        <v>147</v>
      </c>
      <c r="C8" s="49">
        <v>31.42</v>
      </c>
      <c r="D8" s="53" t="s">
        <v>143</v>
      </c>
      <c r="E8" s="49">
        <v>3.5644999999999998</v>
      </c>
      <c r="F8" s="49">
        <v>1.1117999999999999</v>
      </c>
      <c r="G8" s="49">
        <v>-7.6999999999999999E-2</v>
      </c>
      <c r="H8" s="49">
        <f t="shared" si="2"/>
        <v>113890.78934811472</v>
      </c>
      <c r="I8" s="49">
        <v>1.49</v>
      </c>
      <c r="J8" s="49">
        <v>1.52</v>
      </c>
      <c r="K8" s="49">
        <v>3.7</v>
      </c>
      <c r="L8" s="49">
        <v>1</v>
      </c>
      <c r="M8" s="49">
        <f t="shared" si="0"/>
        <v>7.1140000000000008</v>
      </c>
      <c r="N8" s="49">
        <f t="shared" si="1"/>
        <v>810219.07542248815</v>
      </c>
      <c r="O8" s="49">
        <v>1.7088161209999999</v>
      </c>
      <c r="P8" s="49">
        <f t="shared" ref="P8:P39" si="3">N8*O8</f>
        <v>1384515.4176236626</v>
      </c>
      <c r="Q8" s="53" t="s">
        <v>148</v>
      </c>
      <c r="R8" s="52">
        <f>SUM(P7:P12)</f>
        <v>1835589.584051888</v>
      </c>
      <c r="S8" s="9"/>
      <c r="T8" s="9"/>
      <c r="U8" s="9"/>
      <c r="V8" s="9"/>
      <c r="W8" s="9"/>
      <c r="X8" s="9"/>
      <c r="Y8" s="9"/>
      <c r="Z8" s="9"/>
    </row>
    <row r="9" spans="1:26" x14ac:dyDescent="0.3">
      <c r="A9" s="53" t="s">
        <v>149</v>
      </c>
      <c r="B9" s="53" t="s">
        <v>150</v>
      </c>
      <c r="C9" s="49">
        <v>300</v>
      </c>
      <c r="D9" s="53" t="s">
        <v>151</v>
      </c>
      <c r="E9" s="49">
        <v>3.0680999999999998</v>
      </c>
      <c r="F9" s="49">
        <v>0.65</v>
      </c>
      <c r="G9" s="49">
        <v>2.87E-2</v>
      </c>
      <c r="H9" s="49">
        <f t="shared" si="2"/>
        <v>71504.889239000258</v>
      </c>
      <c r="I9" s="49">
        <v>1.49</v>
      </c>
      <c r="J9" s="49">
        <v>1.52</v>
      </c>
      <c r="K9" s="49">
        <v>1</v>
      </c>
      <c r="L9" s="49">
        <v>1</v>
      </c>
      <c r="M9" s="49">
        <f t="shared" si="0"/>
        <v>3.01</v>
      </c>
      <c r="N9" s="49">
        <v>2700</v>
      </c>
      <c r="O9" s="49">
        <v>1.7088161209999999</v>
      </c>
      <c r="P9" s="49">
        <f t="shared" si="3"/>
        <v>4613.8035266999996</v>
      </c>
      <c r="Q9" s="53" t="s">
        <v>152</v>
      </c>
      <c r="R9" s="55" t="s">
        <v>153</v>
      </c>
      <c r="S9" s="9"/>
      <c r="T9" s="9"/>
      <c r="U9" s="9"/>
      <c r="V9" s="9"/>
      <c r="W9" s="9"/>
      <c r="X9" s="9"/>
      <c r="Y9" s="9"/>
      <c r="Z9" s="9"/>
    </row>
    <row r="10" spans="1:26" x14ac:dyDescent="0.3">
      <c r="A10" s="56" t="s">
        <v>154</v>
      </c>
      <c r="B10" s="56" t="s">
        <v>155</v>
      </c>
      <c r="C10" s="57">
        <v>0.33</v>
      </c>
      <c r="D10" s="56" t="s">
        <v>143</v>
      </c>
      <c r="E10" s="57">
        <v>4.3247</v>
      </c>
      <c r="F10" s="57">
        <v>-0.30299999999999999</v>
      </c>
      <c r="G10" s="57">
        <v>0.16339999999999999</v>
      </c>
      <c r="H10" s="49">
        <f t="shared" si="2"/>
        <v>32245.647819762577</v>
      </c>
      <c r="I10" s="57">
        <v>1.63</v>
      </c>
      <c r="J10" s="57">
        <v>1.66</v>
      </c>
      <c r="K10" s="57">
        <v>2.75</v>
      </c>
      <c r="L10" s="57">
        <v>1</v>
      </c>
      <c r="M10" s="49">
        <f t="shared" si="0"/>
        <v>6.1949999999999994</v>
      </c>
      <c r="N10" s="49">
        <f t="shared" ref="N10:N41" si="4">H10*M10</f>
        <v>199761.78824342915</v>
      </c>
      <c r="O10" s="57">
        <v>1.7088161209999999</v>
      </c>
      <c r="P10" s="49">
        <f t="shared" si="3"/>
        <v>341356.16411015997</v>
      </c>
      <c r="Q10" s="56" t="s">
        <v>156</v>
      </c>
      <c r="R10" s="51"/>
    </row>
    <row r="11" spans="1:26" x14ac:dyDescent="0.3">
      <c r="A11" s="56" t="s">
        <v>157</v>
      </c>
      <c r="B11" s="56" t="s">
        <v>158</v>
      </c>
      <c r="C11" s="57">
        <v>3.34</v>
      </c>
      <c r="D11" s="56" t="s">
        <v>143</v>
      </c>
      <c r="E11" s="57">
        <v>4.3247</v>
      </c>
      <c r="F11" s="57">
        <v>-0.30299999999999999</v>
      </c>
      <c r="G11" s="57">
        <v>0.16339999999999999</v>
      </c>
      <c r="H11" s="49">
        <f t="shared" si="2"/>
        <v>16249.018518289733</v>
      </c>
      <c r="I11" s="57">
        <v>1.63</v>
      </c>
      <c r="J11" s="57">
        <v>1.66</v>
      </c>
      <c r="K11" s="57">
        <v>1</v>
      </c>
      <c r="L11" s="57">
        <v>1</v>
      </c>
      <c r="M11" s="49">
        <f t="shared" si="0"/>
        <v>3.29</v>
      </c>
      <c r="N11" s="49">
        <f t="shared" si="4"/>
        <v>53459.270925173223</v>
      </c>
      <c r="O11" s="57">
        <v>1.7088161209999999</v>
      </c>
      <c r="P11" s="49">
        <f t="shared" si="3"/>
        <v>91352.063973842582</v>
      </c>
      <c r="Q11" s="56" t="s">
        <v>159</v>
      </c>
      <c r="R11" s="51"/>
    </row>
    <row r="12" spans="1:26" x14ac:dyDescent="0.3">
      <c r="A12" s="56" t="s">
        <v>160</v>
      </c>
      <c r="B12" s="56" t="s">
        <v>161</v>
      </c>
      <c r="C12" s="57">
        <v>10</v>
      </c>
      <c r="D12" s="56" t="s">
        <v>135</v>
      </c>
      <c r="E12" s="57">
        <v>3.2086000000000001</v>
      </c>
      <c r="F12" s="57">
        <v>0.3236</v>
      </c>
      <c r="G12" s="57">
        <v>6.4500000000000002E-2</v>
      </c>
      <c r="H12" s="49">
        <f t="shared" si="2"/>
        <v>3950.9360478943013</v>
      </c>
      <c r="I12" s="57">
        <v>0</v>
      </c>
      <c r="J12" s="57">
        <v>1</v>
      </c>
      <c r="K12" s="57">
        <v>1.5</v>
      </c>
      <c r="L12" s="57">
        <v>1</v>
      </c>
      <c r="M12" s="49">
        <f t="shared" si="0"/>
        <v>1.5</v>
      </c>
      <c r="N12" s="49">
        <f t="shared" si="4"/>
        <v>5926.4040718414517</v>
      </c>
      <c r="O12" s="57">
        <v>1.7088161209999999</v>
      </c>
      <c r="P12" s="49">
        <f t="shared" si="3"/>
        <v>10127.134817522714</v>
      </c>
      <c r="Q12" s="56" t="s">
        <v>162</v>
      </c>
      <c r="R12" s="51"/>
    </row>
    <row r="13" spans="1:26" x14ac:dyDescent="0.3">
      <c r="A13" s="56" t="s">
        <v>163</v>
      </c>
      <c r="B13" s="56" t="s">
        <v>164</v>
      </c>
      <c r="C13" s="57">
        <v>300</v>
      </c>
      <c r="D13" s="56" t="s">
        <v>131</v>
      </c>
      <c r="E13" s="57">
        <v>4.3247</v>
      </c>
      <c r="F13" s="57">
        <v>-0.30299999999999999</v>
      </c>
      <c r="G13" s="57">
        <v>0.16339999999999999</v>
      </c>
      <c r="H13" s="49">
        <f t="shared" si="2"/>
        <v>37737.737090335111</v>
      </c>
      <c r="I13" s="57">
        <v>1.63</v>
      </c>
      <c r="J13" s="57">
        <v>1.66</v>
      </c>
      <c r="K13" s="57">
        <v>1</v>
      </c>
      <c r="L13" s="57">
        <v>1</v>
      </c>
      <c r="M13" s="49">
        <f t="shared" si="0"/>
        <v>3.29</v>
      </c>
      <c r="N13" s="49">
        <f t="shared" si="4"/>
        <v>124157.15502720252</v>
      </c>
      <c r="O13" s="57">
        <v>1.7088161209999999</v>
      </c>
      <c r="P13" s="49">
        <f t="shared" si="3"/>
        <v>212161.74804797984</v>
      </c>
      <c r="Q13" s="56" t="s">
        <v>165</v>
      </c>
      <c r="R13" s="51">
        <f>SUM(P13:P19)</f>
        <v>1691249.3811251973</v>
      </c>
    </row>
    <row r="14" spans="1:26" x14ac:dyDescent="0.3">
      <c r="A14" s="56" t="s">
        <v>166</v>
      </c>
      <c r="B14" s="56" t="s">
        <v>167</v>
      </c>
      <c r="C14" s="57">
        <v>0.18</v>
      </c>
      <c r="D14" s="56" t="s">
        <v>168</v>
      </c>
      <c r="E14" s="57">
        <v>4.1378000000000004</v>
      </c>
      <c r="F14" s="57">
        <v>0.1678</v>
      </c>
      <c r="G14" s="57">
        <v>9.8799999999999999E-2</v>
      </c>
      <c r="H14" s="49">
        <f t="shared" si="2"/>
        <v>11685.063792087883</v>
      </c>
      <c r="I14" s="57">
        <v>0</v>
      </c>
      <c r="J14" s="57">
        <v>1</v>
      </c>
      <c r="K14" s="57">
        <v>1.5</v>
      </c>
      <c r="L14" s="57">
        <v>1</v>
      </c>
      <c r="M14" s="49">
        <f t="shared" si="0"/>
        <v>1.5</v>
      </c>
      <c r="N14" s="49">
        <f t="shared" si="4"/>
        <v>17527.595688131827</v>
      </c>
      <c r="O14" s="57">
        <v>1.7088161209999999</v>
      </c>
      <c r="P14" s="49">
        <f t="shared" si="3"/>
        <v>29951.438074249752</v>
      </c>
      <c r="Q14" s="56" t="s">
        <v>169</v>
      </c>
      <c r="R14" s="51"/>
    </row>
    <row r="15" spans="1:26" x14ac:dyDescent="0.3">
      <c r="A15" s="56" t="s">
        <v>170</v>
      </c>
      <c r="B15" s="56" t="s">
        <v>171</v>
      </c>
      <c r="C15" s="57">
        <v>200</v>
      </c>
      <c r="D15" s="56" t="s">
        <v>172</v>
      </c>
      <c r="E15" s="57">
        <v>4.3247</v>
      </c>
      <c r="F15" s="57">
        <v>-0.30299999999999999</v>
      </c>
      <c r="G15" s="57">
        <v>0.16339999999999999</v>
      </c>
      <c r="H15" s="49">
        <f t="shared" si="2"/>
        <v>31091.972191601417</v>
      </c>
      <c r="I15" s="57">
        <v>1.63</v>
      </c>
      <c r="J15" s="57">
        <v>1.66</v>
      </c>
      <c r="K15" s="57">
        <v>1</v>
      </c>
      <c r="L15" s="57">
        <v>1</v>
      </c>
      <c r="M15" s="49">
        <f t="shared" si="0"/>
        <v>3.29</v>
      </c>
      <c r="N15" s="49">
        <f t="shared" si="4"/>
        <v>102292.58851036866</v>
      </c>
      <c r="O15" s="57">
        <v>1.7088161209999999</v>
      </c>
      <c r="P15" s="49">
        <f t="shared" si="3"/>
        <v>174799.22430533732</v>
      </c>
      <c r="Q15" s="56" t="s">
        <v>165</v>
      </c>
      <c r="R15" s="51"/>
    </row>
    <row r="16" spans="1:26" x14ac:dyDescent="0.3">
      <c r="A16" s="56" t="s">
        <v>173</v>
      </c>
      <c r="B16" s="56" t="s">
        <v>174</v>
      </c>
      <c r="C16" s="57">
        <v>2</v>
      </c>
      <c r="D16" s="56" t="s">
        <v>175</v>
      </c>
      <c r="E16" s="57">
        <v>4.2255000000000003</v>
      </c>
      <c r="F16" s="57">
        <v>0.505</v>
      </c>
      <c r="G16" s="57">
        <v>-4.4999999999999998E-2</v>
      </c>
      <c r="H16" s="49">
        <f t="shared" si="2"/>
        <v>23628.833942006731</v>
      </c>
      <c r="I16" s="57">
        <v>0</v>
      </c>
      <c r="J16" s="57">
        <v>1</v>
      </c>
      <c r="K16" s="57">
        <v>2</v>
      </c>
      <c r="L16" s="57">
        <v>1</v>
      </c>
      <c r="M16" s="49">
        <f t="shared" si="0"/>
        <v>2</v>
      </c>
      <c r="N16" s="49">
        <f t="shared" si="4"/>
        <v>47257.667884013463</v>
      </c>
      <c r="O16" s="57">
        <v>1.7088161209999999</v>
      </c>
      <c r="P16" s="49">
        <f t="shared" si="3"/>
        <v>80754.664721066161</v>
      </c>
      <c r="Q16" s="56" t="s">
        <v>176</v>
      </c>
      <c r="R16" s="51"/>
    </row>
    <row r="17" spans="1:26" x14ac:dyDescent="0.3">
      <c r="A17" s="56" t="s">
        <v>177</v>
      </c>
      <c r="B17" s="56" t="s">
        <v>178</v>
      </c>
      <c r="C17" s="57">
        <v>15</v>
      </c>
      <c r="D17" s="56" t="s">
        <v>131</v>
      </c>
      <c r="E17" s="57">
        <v>2.4697</v>
      </c>
      <c r="F17" s="57">
        <v>1.4398</v>
      </c>
      <c r="G17" s="57">
        <v>-0.17760000000000001</v>
      </c>
      <c r="H17" s="49">
        <f t="shared" si="2"/>
        <v>8267.6395744343008</v>
      </c>
      <c r="I17" s="57">
        <v>0</v>
      </c>
      <c r="J17" s="57">
        <v>1</v>
      </c>
      <c r="K17" s="57">
        <v>1.5</v>
      </c>
      <c r="L17" s="57">
        <v>1</v>
      </c>
      <c r="M17" s="49">
        <f t="shared" si="0"/>
        <v>1.5</v>
      </c>
      <c r="N17" s="49">
        <f t="shared" si="4"/>
        <v>12401.45936165145</v>
      </c>
      <c r="O17" s="57">
        <v>1.7088161209999999</v>
      </c>
      <c r="P17" s="49">
        <f t="shared" si="3"/>
        <v>21191.813681116368</v>
      </c>
      <c r="Q17" s="56" t="s">
        <v>179</v>
      </c>
      <c r="R17" s="51"/>
    </row>
    <row r="18" spans="1:26" x14ac:dyDescent="0.3">
      <c r="A18" s="56" t="s">
        <v>180</v>
      </c>
      <c r="B18" s="56" t="s">
        <v>181</v>
      </c>
      <c r="C18" s="57">
        <v>300</v>
      </c>
      <c r="D18" s="56" t="s">
        <v>182</v>
      </c>
      <c r="E18" s="57">
        <v>3.4973999999999998</v>
      </c>
      <c r="F18" s="57">
        <v>0.44850000000000001</v>
      </c>
      <c r="G18" s="57">
        <v>0.1074</v>
      </c>
      <c r="H18" s="49">
        <f t="shared" si="2"/>
        <v>185101.19121634861</v>
      </c>
      <c r="I18" s="57">
        <v>2.25</v>
      </c>
      <c r="J18" s="57">
        <v>1.82</v>
      </c>
      <c r="K18" s="57">
        <v>2</v>
      </c>
      <c r="L18" s="57">
        <v>1</v>
      </c>
      <c r="M18" s="49">
        <f t="shared" si="0"/>
        <v>5.8900000000000006</v>
      </c>
      <c r="N18" s="49">
        <f t="shared" si="4"/>
        <v>1090246.0162642933</v>
      </c>
      <c r="O18" s="57">
        <v>1.7088161209999999</v>
      </c>
      <c r="P18" s="49">
        <v>1000000</v>
      </c>
      <c r="Q18" s="56" t="s">
        <v>183</v>
      </c>
      <c r="R18" s="51" t="s">
        <v>372</v>
      </c>
    </row>
    <row r="19" spans="1:26" x14ac:dyDescent="0.3">
      <c r="A19" s="56" t="s">
        <v>184</v>
      </c>
      <c r="B19" s="56" t="s">
        <v>185</v>
      </c>
      <c r="C19" s="57">
        <v>30</v>
      </c>
      <c r="D19" s="56" t="s">
        <v>186</v>
      </c>
      <c r="E19" s="57">
        <v>3.4973999999999998</v>
      </c>
      <c r="F19" s="57">
        <v>0.44850000000000001</v>
      </c>
      <c r="G19" s="57">
        <v>0.1074</v>
      </c>
      <c r="H19" s="49">
        <f t="shared" si="2"/>
        <v>24786.977248664334</v>
      </c>
      <c r="I19" s="57">
        <v>2.25</v>
      </c>
      <c r="J19" s="57">
        <v>1.82</v>
      </c>
      <c r="K19" s="57">
        <v>1</v>
      </c>
      <c r="L19" s="57">
        <v>1</v>
      </c>
      <c r="M19" s="49">
        <f t="shared" si="0"/>
        <v>4.07</v>
      </c>
      <c r="N19" s="49">
        <f t="shared" si="4"/>
        <v>100882.99740206385</v>
      </c>
      <c r="O19" s="57">
        <v>1.7088161209999999</v>
      </c>
      <c r="P19" s="49">
        <f t="shared" si="3"/>
        <v>172390.49229544782</v>
      </c>
      <c r="Q19" s="56" t="s">
        <v>187</v>
      </c>
      <c r="R19" s="51"/>
    </row>
    <row r="20" spans="1:26" x14ac:dyDescent="0.3">
      <c r="A20" s="56" t="s">
        <v>188</v>
      </c>
      <c r="B20" s="56" t="s">
        <v>189</v>
      </c>
      <c r="C20" s="57">
        <v>0.6</v>
      </c>
      <c r="D20" s="56" t="s">
        <v>190</v>
      </c>
      <c r="E20" s="57">
        <v>4.5125999999999999</v>
      </c>
      <c r="F20" s="57">
        <v>0.2989</v>
      </c>
      <c r="G20" s="57">
        <v>1.6299999999999999E-2</v>
      </c>
      <c r="H20" s="49">
        <f t="shared" si="2"/>
        <v>27995.72015657667</v>
      </c>
      <c r="I20" s="57">
        <v>0</v>
      </c>
      <c r="J20" s="57">
        <v>1</v>
      </c>
      <c r="K20" s="57">
        <v>2.5</v>
      </c>
      <c r="L20" s="57">
        <v>1</v>
      </c>
      <c r="M20" s="49">
        <f t="shared" si="0"/>
        <v>2.5</v>
      </c>
      <c r="N20" s="49">
        <f t="shared" si="4"/>
        <v>69989.300391441677</v>
      </c>
      <c r="O20" s="57">
        <v>1.7088161209999999</v>
      </c>
      <c r="P20" s="49">
        <f>N20*O20</f>
        <v>119598.84480640714</v>
      </c>
      <c r="Q20" s="56" t="s">
        <v>191</v>
      </c>
      <c r="R20" s="51">
        <f>SUM(P20:P23)</f>
        <v>190628.00926524014</v>
      </c>
    </row>
    <row r="21" spans="1:26" x14ac:dyDescent="0.3">
      <c r="A21" s="56" t="s">
        <v>192</v>
      </c>
      <c r="B21" s="56" t="s">
        <v>193</v>
      </c>
      <c r="C21" s="57">
        <v>10</v>
      </c>
      <c r="D21" s="56" t="s">
        <v>186</v>
      </c>
      <c r="E21" s="57">
        <v>3.2086000000000001</v>
      </c>
      <c r="F21" s="57">
        <v>0.3236</v>
      </c>
      <c r="G21" s="57">
        <v>6.4500000000000002E-2</v>
      </c>
      <c r="H21" s="49">
        <f t="shared" si="2"/>
        <v>3950.9360478943013</v>
      </c>
      <c r="I21" s="57">
        <v>0</v>
      </c>
      <c r="J21" s="57">
        <v>1</v>
      </c>
      <c r="K21" s="57">
        <v>1.5</v>
      </c>
      <c r="L21" s="57">
        <v>1</v>
      </c>
      <c r="M21" s="49">
        <f t="shared" si="0"/>
        <v>1.5</v>
      </c>
      <c r="N21" s="49">
        <f t="shared" si="4"/>
        <v>5926.4040718414517</v>
      </c>
      <c r="O21" s="57">
        <v>1.7088161209999999</v>
      </c>
      <c r="P21" s="49">
        <f t="shared" si="3"/>
        <v>10127.134817522714</v>
      </c>
      <c r="Q21" s="56" t="s">
        <v>194</v>
      </c>
      <c r="R21" s="51"/>
    </row>
    <row r="22" spans="1:26" x14ac:dyDescent="0.3">
      <c r="A22" s="56" t="s">
        <v>195</v>
      </c>
      <c r="B22" s="56" t="s">
        <v>196</v>
      </c>
      <c r="C22" s="57">
        <v>10</v>
      </c>
      <c r="D22" s="56" t="s">
        <v>186</v>
      </c>
      <c r="E22" s="57">
        <v>3.2086000000000001</v>
      </c>
      <c r="F22" s="57">
        <v>0.3236</v>
      </c>
      <c r="G22" s="57">
        <v>6.4500000000000002E-2</v>
      </c>
      <c r="H22" s="49">
        <f t="shared" si="2"/>
        <v>3950.9360478943013</v>
      </c>
      <c r="I22" s="57">
        <v>0</v>
      </c>
      <c r="J22" s="57">
        <v>1</v>
      </c>
      <c r="K22" s="57">
        <v>1.5</v>
      </c>
      <c r="L22" s="57">
        <v>1</v>
      </c>
      <c r="M22" s="49">
        <f t="shared" si="0"/>
        <v>1.5</v>
      </c>
      <c r="N22" s="49">
        <f t="shared" si="4"/>
        <v>5926.4040718414517</v>
      </c>
      <c r="O22" s="57">
        <v>1.7088161209999999</v>
      </c>
      <c r="P22" s="49">
        <f t="shared" si="3"/>
        <v>10127.134817522714</v>
      </c>
      <c r="Q22" s="56" t="s">
        <v>194</v>
      </c>
      <c r="R22" s="51"/>
    </row>
    <row r="23" spans="1:26" x14ac:dyDescent="0.3">
      <c r="A23" s="56" t="s">
        <v>197</v>
      </c>
      <c r="B23" s="56" t="s">
        <v>198</v>
      </c>
      <c r="C23" s="57">
        <v>5</v>
      </c>
      <c r="D23" s="56" t="s">
        <v>139</v>
      </c>
      <c r="E23" s="57">
        <v>3.4973999999999998</v>
      </c>
      <c r="F23" s="57">
        <v>0.44850000000000001</v>
      </c>
      <c r="G23" s="57">
        <v>0.1074</v>
      </c>
      <c r="H23" s="49">
        <f t="shared" si="2"/>
        <v>7300.6123832142466</v>
      </c>
      <c r="I23" s="57">
        <v>2.25</v>
      </c>
      <c r="J23" s="57">
        <v>1.82</v>
      </c>
      <c r="K23" s="57">
        <v>1</v>
      </c>
      <c r="L23" s="57">
        <v>1</v>
      </c>
      <c r="M23" s="49">
        <f t="shared" si="0"/>
        <v>4.07</v>
      </c>
      <c r="N23" s="49">
        <f t="shared" si="4"/>
        <v>29713.492399681985</v>
      </c>
      <c r="O23" s="57">
        <v>1.7088161209999999</v>
      </c>
      <c r="P23" s="49">
        <f t="shared" si="3"/>
        <v>50774.894823787552</v>
      </c>
      <c r="Q23" s="56" t="s">
        <v>187</v>
      </c>
      <c r="R23" s="51"/>
    </row>
    <row r="24" spans="1:26" x14ac:dyDescent="0.3">
      <c r="A24" s="56" t="s">
        <v>199</v>
      </c>
      <c r="B24" s="56" t="s">
        <v>200</v>
      </c>
      <c r="C24" s="57">
        <v>3</v>
      </c>
      <c r="D24" s="56" t="s">
        <v>139</v>
      </c>
      <c r="E24" s="57">
        <v>3.4973999999999998</v>
      </c>
      <c r="F24" s="57">
        <v>0.44850000000000001</v>
      </c>
      <c r="G24" s="57">
        <v>0.1074</v>
      </c>
      <c r="H24" s="49">
        <f t="shared" si="2"/>
        <v>5442.9948403518856</v>
      </c>
      <c r="I24" s="57">
        <v>2.25</v>
      </c>
      <c r="J24" s="57">
        <v>1.82</v>
      </c>
      <c r="K24" s="57">
        <v>1</v>
      </c>
      <c r="L24" s="57">
        <v>1</v>
      </c>
      <c r="M24" s="49">
        <f t="shared" si="0"/>
        <v>4.07</v>
      </c>
      <c r="N24" s="49">
        <f t="shared" si="4"/>
        <v>22152.989000232177</v>
      </c>
      <c r="O24" s="57">
        <v>1.7088161209999999</v>
      </c>
      <c r="P24" s="49">
        <f>N24*O24</f>
        <v>37855.384731932412</v>
      </c>
      <c r="Q24" s="56" t="s">
        <v>187</v>
      </c>
      <c r="R24" s="51">
        <f>SUM(P24:P30)</f>
        <v>368854.65405930241</v>
      </c>
    </row>
    <row r="25" spans="1:26" x14ac:dyDescent="0.3">
      <c r="A25" s="56" t="s">
        <v>201</v>
      </c>
      <c r="B25" s="56" t="s">
        <v>202</v>
      </c>
      <c r="C25" s="57">
        <v>0.69</v>
      </c>
      <c r="D25" s="56" t="s">
        <v>127</v>
      </c>
      <c r="E25" s="57">
        <v>3.2086000000000001</v>
      </c>
      <c r="F25" s="57">
        <v>0.3236</v>
      </c>
      <c r="G25" s="57">
        <v>6.4500000000000002E-2</v>
      </c>
      <c r="H25" s="49">
        <f t="shared" si="2"/>
        <v>1439.2180794141284</v>
      </c>
      <c r="I25" s="57">
        <v>0</v>
      </c>
      <c r="J25" s="57">
        <v>1</v>
      </c>
      <c r="K25" s="57">
        <v>1.5</v>
      </c>
      <c r="L25" s="57">
        <v>1</v>
      </c>
      <c r="M25" s="49">
        <f t="shared" si="0"/>
        <v>1.5</v>
      </c>
      <c r="N25" s="49">
        <f t="shared" si="4"/>
        <v>2158.8271191211925</v>
      </c>
      <c r="O25" s="57">
        <v>1.7088161209999999</v>
      </c>
      <c r="P25" s="49">
        <f t="shared" si="3"/>
        <v>3689.038583606281</v>
      </c>
      <c r="Q25" s="56" t="s">
        <v>187</v>
      </c>
      <c r="R25" s="51"/>
    </row>
    <row r="26" spans="1:26" x14ac:dyDescent="0.3">
      <c r="A26" s="56" t="s">
        <v>203</v>
      </c>
      <c r="B26" s="56" t="s">
        <v>204</v>
      </c>
      <c r="C26" s="57">
        <v>2.5</v>
      </c>
      <c r="D26" s="56" t="s">
        <v>139</v>
      </c>
      <c r="E26" s="57">
        <v>3.4973999999999998</v>
      </c>
      <c r="F26" s="57">
        <v>0.44850000000000001</v>
      </c>
      <c r="G26" s="57">
        <v>0.1074</v>
      </c>
      <c r="H26" s="49">
        <f t="shared" si="2"/>
        <v>4930.4158991010336</v>
      </c>
      <c r="I26" s="57">
        <v>2.25</v>
      </c>
      <c r="J26" s="57">
        <v>1.82</v>
      </c>
      <c r="K26" s="57">
        <v>1</v>
      </c>
      <c r="L26" s="57">
        <v>1</v>
      </c>
      <c r="M26" s="49">
        <f t="shared" si="0"/>
        <v>4.07</v>
      </c>
      <c r="N26" s="49">
        <f t="shared" si="4"/>
        <v>20066.792709341207</v>
      </c>
      <c r="O26" s="57">
        <v>1.7088161209999999</v>
      </c>
      <c r="P26" s="49">
        <f t="shared" si="3"/>
        <v>34290.458878487523</v>
      </c>
      <c r="Q26" s="56" t="s">
        <v>205</v>
      </c>
      <c r="R26" s="51"/>
    </row>
    <row r="27" spans="1:26" x14ac:dyDescent="0.3">
      <c r="A27" s="53" t="s">
        <v>206</v>
      </c>
      <c r="B27" s="53" t="s">
        <v>207</v>
      </c>
      <c r="C27" s="49">
        <v>1.74</v>
      </c>
      <c r="D27" s="53" t="s">
        <v>208</v>
      </c>
      <c r="E27" s="49">
        <v>3.3892000000000002</v>
      </c>
      <c r="F27" s="49">
        <v>5.3600000000000002E-2</v>
      </c>
      <c r="G27" s="49">
        <v>0.15379999999999999</v>
      </c>
      <c r="H27" s="49">
        <f t="shared" si="2"/>
        <v>2576.2791206618831</v>
      </c>
      <c r="I27" s="49">
        <v>0</v>
      </c>
      <c r="J27" s="49">
        <v>1</v>
      </c>
      <c r="K27" s="49">
        <v>1.6</v>
      </c>
      <c r="L27" s="49">
        <v>1</v>
      </c>
      <c r="M27" s="49">
        <f t="shared" si="0"/>
        <v>1.6</v>
      </c>
      <c r="N27" s="49">
        <f t="shared" si="4"/>
        <v>4122.0465930590135</v>
      </c>
      <c r="O27" s="49">
        <v>1.7088161209999999</v>
      </c>
      <c r="P27" s="49">
        <f t="shared" si="3"/>
        <v>7043.8196697323683</v>
      </c>
      <c r="Q27" s="53" t="s">
        <v>209</v>
      </c>
      <c r="R27" s="52"/>
      <c r="S27" s="9"/>
      <c r="T27" s="9"/>
      <c r="U27" s="9"/>
      <c r="V27" s="9"/>
      <c r="W27" s="9"/>
      <c r="X27" s="9"/>
      <c r="Y27" s="9"/>
      <c r="Z27" s="9"/>
    </row>
    <row r="28" spans="1:26" x14ac:dyDescent="0.3">
      <c r="A28" s="53" t="s">
        <v>210</v>
      </c>
      <c r="B28" s="53" t="s">
        <v>211</v>
      </c>
      <c r="C28" s="49">
        <v>30</v>
      </c>
      <c r="D28" s="53" t="s">
        <v>212</v>
      </c>
      <c r="E28" s="53"/>
      <c r="F28" s="53"/>
      <c r="G28" s="53"/>
      <c r="H28" s="49">
        <f>IF(ISBLANK(E28), 90000, 10^(E28+F28*LOG10(C28)+G28*(LOG10(C28))^2))</f>
        <v>90000</v>
      </c>
      <c r="I28" s="53"/>
      <c r="J28" s="53"/>
      <c r="K28" s="53"/>
      <c r="L28" s="53"/>
      <c r="M28" s="49">
        <f t="shared" si="0"/>
        <v>1.5</v>
      </c>
      <c r="N28" s="49">
        <f t="shared" si="4"/>
        <v>135000</v>
      </c>
      <c r="O28" s="49">
        <v>1.7088161209999999</v>
      </c>
      <c r="P28" s="49">
        <f t="shared" si="3"/>
        <v>230690.176335</v>
      </c>
      <c r="Q28" s="53" t="s">
        <v>213</v>
      </c>
      <c r="R28" s="51"/>
    </row>
    <row r="29" spans="1:26" x14ac:dyDescent="0.3">
      <c r="A29" s="53" t="s">
        <v>214</v>
      </c>
      <c r="B29" s="53" t="s">
        <v>215</v>
      </c>
      <c r="C29" s="49">
        <v>1.74</v>
      </c>
      <c r="D29" s="53" t="s">
        <v>208</v>
      </c>
      <c r="E29" s="49">
        <v>3.3892000000000002</v>
      </c>
      <c r="F29" s="49">
        <v>5.3600000000000002E-2</v>
      </c>
      <c r="G29" s="49">
        <v>0.15379999999999999</v>
      </c>
      <c r="H29" s="49">
        <f>IF(ISBLANK(E29), 18000, 10^(E29+F29*LOG10(C29)+G29*(LOG10(C29))^2))</f>
        <v>2576.2791206618831</v>
      </c>
      <c r="I29" s="49">
        <v>0</v>
      </c>
      <c r="J29" s="49">
        <v>1</v>
      </c>
      <c r="K29" s="49">
        <v>1.6</v>
      </c>
      <c r="L29" s="49">
        <v>1</v>
      </c>
      <c r="M29" s="49">
        <f t="shared" si="0"/>
        <v>1.6</v>
      </c>
      <c r="N29" s="49">
        <f t="shared" si="4"/>
        <v>4122.0465930590135</v>
      </c>
      <c r="O29" s="49">
        <v>1.7088161209999999</v>
      </c>
      <c r="P29" s="49">
        <f t="shared" si="3"/>
        <v>7043.8196697323683</v>
      </c>
      <c r="Q29" s="53" t="s">
        <v>209</v>
      </c>
      <c r="R29" s="52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56" t="s">
        <v>216</v>
      </c>
      <c r="B30" s="56" t="s">
        <v>217</v>
      </c>
      <c r="C30" s="57">
        <v>4</v>
      </c>
      <c r="D30" s="56" t="s">
        <v>218</v>
      </c>
      <c r="E30" s="57">
        <v>4.1378000000000004</v>
      </c>
      <c r="F30" s="57">
        <v>0.1678</v>
      </c>
      <c r="G30" s="57">
        <v>9.8799999999999999E-2</v>
      </c>
      <c r="H30" s="49">
        <f>IF(ISBLANK(E30), 18000, 10^(E30+F30*LOG10(C30)+G30*(LOG10(C30))^2))</f>
        <v>18820.810344641894</v>
      </c>
      <c r="I30" s="57">
        <v>0</v>
      </c>
      <c r="J30" s="57">
        <v>1</v>
      </c>
      <c r="K30" s="57">
        <v>1.5</v>
      </c>
      <c r="L30" s="57">
        <v>1</v>
      </c>
      <c r="M30" s="49">
        <f t="shared" si="0"/>
        <v>1.5</v>
      </c>
      <c r="N30" s="49">
        <f t="shared" si="4"/>
        <v>28231.215516962839</v>
      </c>
      <c r="O30" s="57">
        <v>1.7088161209999999</v>
      </c>
      <c r="P30" s="49">
        <f t="shared" si="3"/>
        <v>48241.956190811448</v>
      </c>
      <c r="Q30" s="56" t="s">
        <v>219</v>
      </c>
      <c r="R30" s="51"/>
    </row>
    <row r="31" spans="1:26" x14ac:dyDescent="0.3">
      <c r="A31" s="56" t="s">
        <v>220</v>
      </c>
      <c r="B31" s="56" t="s">
        <v>221</v>
      </c>
      <c r="C31" s="57">
        <v>310</v>
      </c>
      <c r="D31" s="56" t="s">
        <v>139</v>
      </c>
      <c r="E31" s="57">
        <v>3.4973999999999998</v>
      </c>
      <c r="F31" s="57">
        <v>0.44850000000000001</v>
      </c>
      <c r="G31" s="57">
        <v>0.1074</v>
      </c>
      <c r="H31" s="49">
        <f>IF(ISBLANK(E31), 18000, 10^(E31+F31*LOG10(C31)+G31*(LOG10(C31))^2))</f>
        <v>191159.09399379216</v>
      </c>
      <c r="I31" s="57">
        <v>2.25</v>
      </c>
      <c r="J31" s="57">
        <v>1.82</v>
      </c>
      <c r="K31" s="57">
        <v>1</v>
      </c>
      <c r="L31" s="57">
        <v>1</v>
      </c>
      <c r="M31" s="49">
        <f t="shared" si="0"/>
        <v>4.07</v>
      </c>
      <c r="N31" s="49">
        <f t="shared" si="4"/>
        <v>778017.51255473413</v>
      </c>
      <c r="O31" s="57">
        <v>1.7088161209999999</v>
      </c>
      <c r="P31" s="49">
        <f t="shared" si="3"/>
        <v>1329488.8678738496</v>
      </c>
      <c r="Q31" s="56" t="s">
        <v>222</v>
      </c>
      <c r="R31" s="51">
        <f>SUM(P31:P39)</f>
        <v>3986657.9468207457</v>
      </c>
    </row>
    <row r="32" spans="1:26" x14ac:dyDescent="0.3">
      <c r="A32" s="53" t="s">
        <v>223</v>
      </c>
      <c r="B32" s="53" t="s">
        <v>224</v>
      </c>
      <c r="C32" s="49">
        <v>1.2</v>
      </c>
      <c r="D32" s="53" t="s">
        <v>208</v>
      </c>
      <c r="E32" s="49">
        <v>3.3892000000000002</v>
      </c>
      <c r="F32" s="49">
        <v>5.3600000000000002E-2</v>
      </c>
      <c r="G32" s="49">
        <v>0.15379999999999999</v>
      </c>
      <c r="H32" s="49">
        <f>IF(ISBLANK(E32), 18000, 10^(E32+F32*LOG10(C32)+G32*(LOG10(C32))^2))</f>
        <v>2479.7528038630935</v>
      </c>
      <c r="I32" s="49">
        <v>1.89</v>
      </c>
      <c r="J32" s="49">
        <v>1.35</v>
      </c>
      <c r="K32" s="49">
        <v>2</v>
      </c>
      <c r="L32" s="49">
        <v>1</v>
      </c>
      <c r="M32" s="49">
        <f t="shared" si="0"/>
        <v>4.59</v>
      </c>
      <c r="N32" s="49">
        <f t="shared" si="4"/>
        <v>11382.065369731599</v>
      </c>
      <c r="O32" s="49">
        <v>1.7088161209999999</v>
      </c>
      <c r="P32" s="49">
        <f t="shared" si="3"/>
        <v>19449.856794073181</v>
      </c>
      <c r="Q32" s="53" t="s">
        <v>225</v>
      </c>
      <c r="R32" s="52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53" t="s">
        <v>226</v>
      </c>
      <c r="B33" s="53" t="s">
        <v>227</v>
      </c>
      <c r="C33" s="49">
        <v>12</v>
      </c>
      <c r="D33" s="53" t="s">
        <v>139</v>
      </c>
      <c r="E33" s="49"/>
      <c r="F33" s="49"/>
      <c r="G33" s="49"/>
      <c r="H33" s="49">
        <f>IF(ISBLANK(E33), 164000, 10^(E33+F33*LOG10(C33)+G33*(LOG10(C33))^2))</f>
        <v>164000</v>
      </c>
      <c r="I33" s="49">
        <v>2.25</v>
      </c>
      <c r="J33" s="49">
        <v>1.82</v>
      </c>
      <c r="K33" s="49">
        <v>1.6</v>
      </c>
      <c r="L33" s="49">
        <v>1</v>
      </c>
      <c r="M33" s="49">
        <f t="shared" si="0"/>
        <v>5.1620000000000008</v>
      </c>
      <c r="N33" s="49">
        <f t="shared" si="4"/>
        <v>846568.00000000012</v>
      </c>
      <c r="O33" s="49">
        <v>1.7088161209999999</v>
      </c>
      <c r="P33" s="49">
        <f t="shared" si="3"/>
        <v>1446629.045922728</v>
      </c>
      <c r="Q33" s="53" t="s">
        <v>228</v>
      </c>
      <c r="R33" s="51"/>
    </row>
    <row r="34" spans="1:26" x14ac:dyDescent="0.3">
      <c r="A34" s="56" t="s">
        <v>229</v>
      </c>
      <c r="B34" s="56" t="s">
        <v>230</v>
      </c>
      <c r="C34" s="57">
        <v>300</v>
      </c>
      <c r="D34" s="56" t="s">
        <v>182</v>
      </c>
      <c r="E34" s="57">
        <v>3.4973999999999998</v>
      </c>
      <c r="F34" s="57">
        <v>0.44850000000000001</v>
      </c>
      <c r="G34" s="57">
        <v>0.1074</v>
      </c>
      <c r="H34" s="49">
        <f t="shared" ref="H34:H53" si="5">IF(ISBLANK(E34), 18000, 10^(E34+F34*LOG10(C34)+G34*(LOG10(C34))^2))</f>
        <v>185101.19121634861</v>
      </c>
      <c r="I34" s="57">
        <v>2.25</v>
      </c>
      <c r="J34" s="57">
        <v>1.82</v>
      </c>
      <c r="K34" s="57">
        <v>2</v>
      </c>
      <c r="L34" s="57">
        <v>1</v>
      </c>
      <c r="M34" s="49">
        <f t="shared" ref="M34:M60" si="6">IF(ISBLANK(I34), 1.5, I34+J34*K34*L34)</f>
        <v>5.8900000000000006</v>
      </c>
      <c r="N34" s="49">
        <f t="shared" si="4"/>
        <v>1090246.0162642933</v>
      </c>
      <c r="O34" s="57">
        <v>1.7088161209999999</v>
      </c>
      <c r="P34" s="49">
        <v>800000</v>
      </c>
      <c r="Q34" s="56" t="s">
        <v>231</v>
      </c>
      <c r="R34" s="51" t="s">
        <v>372</v>
      </c>
    </row>
    <row r="35" spans="1:26" x14ac:dyDescent="0.3">
      <c r="A35" s="53" t="s">
        <v>232</v>
      </c>
      <c r="B35" s="53" t="s">
        <v>233</v>
      </c>
      <c r="C35" s="49">
        <v>2.65</v>
      </c>
      <c r="D35" s="53" t="s">
        <v>208</v>
      </c>
      <c r="E35" s="49">
        <v>3.3892000000000002</v>
      </c>
      <c r="F35" s="49">
        <v>5.3600000000000002E-2</v>
      </c>
      <c r="G35" s="49">
        <v>0.15379999999999999</v>
      </c>
      <c r="H35" s="49">
        <f t="shared" si="5"/>
        <v>2750.6622052355669</v>
      </c>
      <c r="I35" s="49">
        <v>1.89</v>
      </c>
      <c r="J35" s="49">
        <v>1.35</v>
      </c>
      <c r="K35" s="49">
        <v>2</v>
      </c>
      <c r="L35" s="49">
        <v>1</v>
      </c>
      <c r="M35" s="49">
        <f t="shared" si="6"/>
        <v>4.59</v>
      </c>
      <c r="N35" s="49">
        <f t="shared" si="4"/>
        <v>12625.539522031251</v>
      </c>
      <c r="O35" s="49">
        <v>1.7088161209999999</v>
      </c>
      <c r="P35" s="49">
        <f t="shared" si="3"/>
        <v>21574.725471569636</v>
      </c>
      <c r="Q35" s="53" t="s">
        <v>209</v>
      </c>
      <c r="R35" s="52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53" t="s">
        <v>234</v>
      </c>
      <c r="B36" s="53" t="s">
        <v>235</v>
      </c>
      <c r="C36" s="52">
        <v>22</v>
      </c>
      <c r="D36" s="53" t="s">
        <v>143</v>
      </c>
      <c r="E36" s="49">
        <v>4.03</v>
      </c>
      <c r="F36" s="49">
        <v>0.48509999999999998</v>
      </c>
      <c r="G36" s="49">
        <v>3.8399999999999997E-2</v>
      </c>
      <c r="H36" s="49">
        <f t="shared" si="5"/>
        <v>56287.224043122667</v>
      </c>
      <c r="I36" s="49">
        <v>0</v>
      </c>
      <c r="J36" s="49">
        <v>1</v>
      </c>
      <c r="K36" s="49">
        <v>2.5</v>
      </c>
      <c r="L36" s="49">
        <v>1</v>
      </c>
      <c r="M36" s="49">
        <f t="shared" si="6"/>
        <v>2.5</v>
      </c>
      <c r="N36" s="49">
        <f t="shared" si="4"/>
        <v>140718.06010780667</v>
      </c>
      <c r="O36" s="49">
        <v>1.7088161209999999</v>
      </c>
      <c r="P36" s="49">
        <f t="shared" si="3"/>
        <v>240461.28962806702</v>
      </c>
      <c r="Q36" s="53" t="s">
        <v>236</v>
      </c>
      <c r="R36" s="52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56" t="s">
        <v>237</v>
      </c>
      <c r="B37" s="56" t="s">
        <v>238</v>
      </c>
      <c r="C37" s="57">
        <v>8</v>
      </c>
      <c r="D37" s="56" t="s">
        <v>186</v>
      </c>
      <c r="E37" s="57">
        <v>3.2086000000000001</v>
      </c>
      <c r="F37" s="57">
        <v>0.3236</v>
      </c>
      <c r="G37" s="57">
        <v>6.4500000000000002E-2</v>
      </c>
      <c r="H37" s="49">
        <f t="shared" si="5"/>
        <v>3576.3851517243324</v>
      </c>
      <c r="I37" s="57">
        <v>0</v>
      </c>
      <c r="J37" s="57">
        <v>1</v>
      </c>
      <c r="K37" s="57">
        <v>1.5</v>
      </c>
      <c r="L37" s="57">
        <v>1</v>
      </c>
      <c r="M37" s="49">
        <f t="shared" si="6"/>
        <v>1.5</v>
      </c>
      <c r="N37" s="49">
        <f t="shared" si="4"/>
        <v>5364.5777275864984</v>
      </c>
      <c r="O37" s="57">
        <v>1.7088161209999999</v>
      </c>
      <c r="P37" s="49">
        <f t="shared" si="3"/>
        <v>9167.0769032573553</v>
      </c>
      <c r="Q37" s="56" t="s">
        <v>187</v>
      </c>
      <c r="R37" s="51"/>
    </row>
    <row r="38" spans="1:26" x14ac:dyDescent="0.3">
      <c r="A38" s="56" t="s">
        <v>239</v>
      </c>
      <c r="B38" s="56" t="s">
        <v>240</v>
      </c>
      <c r="C38" s="57">
        <v>10</v>
      </c>
      <c r="D38" s="56" t="s">
        <v>139</v>
      </c>
      <c r="E38" s="57">
        <v>3.4973999999999998</v>
      </c>
      <c r="F38" s="57">
        <v>0.44850000000000001</v>
      </c>
      <c r="G38" s="57">
        <v>0.1074</v>
      </c>
      <c r="H38" s="49">
        <f t="shared" si="5"/>
        <v>11305.766196570788</v>
      </c>
      <c r="I38" s="57">
        <v>2.25</v>
      </c>
      <c r="J38" s="57">
        <v>1.82</v>
      </c>
      <c r="K38" s="57">
        <v>1</v>
      </c>
      <c r="L38" s="57">
        <v>1</v>
      </c>
      <c r="M38" s="49">
        <f t="shared" si="6"/>
        <v>4.07</v>
      </c>
      <c r="N38" s="49">
        <f t="shared" si="4"/>
        <v>46014.468420043115</v>
      </c>
      <c r="O38" s="57">
        <v>1.7088161209999999</v>
      </c>
      <c r="P38" s="49">
        <f t="shared" si="3"/>
        <v>78630.265435415073</v>
      </c>
      <c r="Q38" s="56" t="s">
        <v>187</v>
      </c>
      <c r="R38" s="51"/>
    </row>
    <row r="39" spans="1:26" x14ac:dyDescent="0.3">
      <c r="A39" s="56" t="s">
        <v>241</v>
      </c>
      <c r="B39" s="56" t="s">
        <v>242</v>
      </c>
      <c r="C39" s="57">
        <v>3.5</v>
      </c>
      <c r="D39" s="56" t="s">
        <v>139</v>
      </c>
      <c r="E39" s="57">
        <v>3.4973999999999998</v>
      </c>
      <c r="F39" s="57">
        <v>0.44850000000000001</v>
      </c>
      <c r="G39" s="57">
        <v>0.1074</v>
      </c>
      <c r="H39" s="49">
        <f t="shared" si="5"/>
        <v>5932.0662939557533</v>
      </c>
      <c r="I39" s="57">
        <v>2.25</v>
      </c>
      <c r="J39" s="57">
        <v>1.82</v>
      </c>
      <c r="K39" s="57">
        <v>1</v>
      </c>
      <c r="L39" s="57">
        <v>1</v>
      </c>
      <c r="M39" s="49">
        <f t="shared" si="6"/>
        <v>4.07</v>
      </c>
      <c r="N39" s="49">
        <f t="shared" si="4"/>
        <v>24143.509816399917</v>
      </c>
      <c r="O39" s="57">
        <v>1.7088161209999999</v>
      </c>
      <c r="P39" s="49">
        <f t="shared" si="3"/>
        <v>41256.818791785925</v>
      </c>
      <c r="Q39" s="56" t="s">
        <v>205</v>
      </c>
      <c r="R39" s="51"/>
    </row>
    <row r="40" spans="1:26" x14ac:dyDescent="0.3">
      <c r="A40" s="56" t="s">
        <v>243</v>
      </c>
      <c r="B40" s="56" t="s">
        <v>244</v>
      </c>
      <c r="C40" s="57">
        <v>0.6</v>
      </c>
      <c r="D40" s="56" t="s">
        <v>139</v>
      </c>
      <c r="E40" s="57">
        <v>3.4973999999999998</v>
      </c>
      <c r="F40" s="57">
        <v>0.44850000000000001</v>
      </c>
      <c r="G40" s="57">
        <v>0.1074</v>
      </c>
      <c r="H40" s="49">
        <f t="shared" si="5"/>
        <v>2530.3857163600319</v>
      </c>
      <c r="I40" s="57">
        <v>2.25</v>
      </c>
      <c r="J40" s="57">
        <v>1.82</v>
      </c>
      <c r="K40" s="57">
        <v>1</v>
      </c>
      <c r="L40" s="57">
        <v>1</v>
      </c>
      <c r="M40" s="49">
        <f t="shared" si="6"/>
        <v>4.07</v>
      </c>
      <c r="N40" s="49">
        <f t="shared" si="4"/>
        <v>10298.669865585331</v>
      </c>
      <c r="O40" s="57">
        <v>1.7088161209999999</v>
      </c>
      <c r="P40" s="49">
        <f t="shared" ref="P40:P60" si="7">N40*O40</f>
        <v>17598.533091169116</v>
      </c>
      <c r="Q40" s="56" t="s">
        <v>245</v>
      </c>
      <c r="R40" s="51">
        <f>SUM(P40:P45)</f>
        <v>621741.96097351401</v>
      </c>
    </row>
    <row r="41" spans="1:26" x14ac:dyDescent="0.3">
      <c r="A41" s="53" t="s">
        <v>246</v>
      </c>
      <c r="B41" s="53" t="s">
        <v>247</v>
      </c>
      <c r="C41" s="49">
        <v>15</v>
      </c>
      <c r="D41" s="53" t="s">
        <v>139</v>
      </c>
      <c r="E41" s="49">
        <v>3.4973999999999998</v>
      </c>
      <c r="F41" s="49">
        <v>0.44850000000000001</v>
      </c>
      <c r="G41" s="49">
        <v>0.1074</v>
      </c>
      <c r="H41" s="49">
        <f t="shared" si="5"/>
        <v>14908.419528279004</v>
      </c>
      <c r="I41" s="49">
        <v>2.25</v>
      </c>
      <c r="J41" s="49">
        <v>1.82</v>
      </c>
      <c r="K41" s="49">
        <v>1.5</v>
      </c>
      <c r="L41" s="49">
        <v>1</v>
      </c>
      <c r="M41" s="49">
        <f t="shared" si="6"/>
        <v>4.9800000000000004</v>
      </c>
      <c r="N41" s="49">
        <f t="shared" si="4"/>
        <v>74243.929250829446</v>
      </c>
      <c r="O41" s="49">
        <v>1.7088161209999999</v>
      </c>
      <c r="P41" s="49">
        <f t="shared" si="7"/>
        <v>126869.22319020081</v>
      </c>
      <c r="Q41" s="53" t="s">
        <v>205</v>
      </c>
      <c r="R41" s="51"/>
    </row>
    <row r="42" spans="1:26" x14ac:dyDescent="0.3">
      <c r="A42" s="53" t="s">
        <v>248</v>
      </c>
      <c r="B42" s="53" t="s">
        <v>249</v>
      </c>
      <c r="C42" s="49">
        <v>18.27</v>
      </c>
      <c r="D42" s="53" t="s">
        <v>139</v>
      </c>
      <c r="E42" s="49">
        <v>4.03</v>
      </c>
      <c r="F42" s="49">
        <v>0.59770000000000001</v>
      </c>
      <c r="G42" s="49">
        <v>0</v>
      </c>
      <c r="H42" s="49">
        <f t="shared" si="5"/>
        <v>60833.265492736522</v>
      </c>
      <c r="I42" s="49">
        <v>1.18</v>
      </c>
      <c r="J42" s="49">
        <v>0.65</v>
      </c>
      <c r="K42" s="49">
        <v>1.7</v>
      </c>
      <c r="L42" s="49">
        <v>1</v>
      </c>
      <c r="M42" s="49">
        <f t="shared" si="6"/>
        <v>2.2850000000000001</v>
      </c>
      <c r="N42" s="49">
        <f t="shared" ref="N42:N60" si="8">H42*M42</f>
        <v>139004.01165090298</v>
      </c>
      <c r="O42" s="49">
        <v>1.7088161209999999</v>
      </c>
      <c r="P42" s="49">
        <f t="shared" si="7"/>
        <v>237532.29599273481</v>
      </c>
      <c r="Q42" s="52" t="s">
        <v>250</v>
      </c>
      <c r="R42" s="52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53" t="s">
        <v>251</v>
      </c>
      <c r="B43" s="53" t="s">
        <v>252</v>
      </c>
      <c r="C43" s="49">
        <v>8.25</v>
      </c>
      <c r="D43" s="53" t="s">
        <v>139</v>
      </c>
      <c r="E43" s="49">
        <v>3.4973999999999998</v>
      </c>
      <c r="F43" s="49">
        <v>0.44850000000000001</v>
      </c>
      <c r="G43" s="49">
        <v>0.1074</v>
      </c>
      <c r="H43" s="49">
        <f t="shared" si="5"/>
        <v>9968.5857704394748</v>
      </c>
      <c r="I43" s="49">
        <v>2.25</v>
      </c>
      <c r="J43" s="49">
        <v>1.82</v>
      </c>
      <c r="K43" s="49">
        <v>2.5</v>
      </c>
      <c r="L43" s="49">
        <v>1</v>
      </c>
      <c r="M43" s="49">
        <f t="shared" si="6"/>
        <v>6.8</v>
      </c>
      <c r="N43" s="49">
        <f t="shared" si="8"/>
        <v>67786.383238988434</v>
      </c>
      <c r="O43" s="49">
        <v>1.7088161209999999</v>
      </c>
      <c r="P43" s="49">
        <f t="shared" si="7"/>
        <v>115834.46446306762</v>
      </c>
      <c r="Q43" s="53" t="s">
        <v>205</v>
      </c>
      <c r="R43" s="55" t="s">
        <v>253</v>
      </c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56" t="s">
        <v>254</v>
      </c>
      <c r="B44" s="56" t="s">
        <v>255</v>
      </c>
      <c r="C44" s="57">
        <v>25</v>
      </c>
      <c r="D44" s="56" t="s">
        <v>143</v>
      </c>
      <c r="E44" s="57">
        <v>4.3247</v>
      </c>
      <c r="F44" s="57">
        <v>-0.30299999999999999</v>
      </c>
      <c r="G44" s="57">
        <v>0.16339999999999999</v>
      </c>
      <c r="H44" s="49">
        <f t="shared" si="5"/>
        <v>16612.935676742978</v>
      </c>
      <c r="I44" s="57">
        <v>1.63</v>
      </c>
      <c r="J44" s="57">
        <v>1.66</v>
      </c>
      <c r="K44" s="57">
        <v>1</v>
      </c>
      <c r="L44" s="57">
        <v>1</v>
      </c>
      <c r="M44" s="49">
        <f t="shared" si="6"/>
        <v>3.29</v>
      </c>
      <c r="N44" s="49">
        <f t="shared" si="8"/>
        <v>54656.558376484398</v>
      </c>
      <c r="O44" s="57">
        <v>1.7088161209999999</v>
      </c>
      <c r="P44" s="49">
        <f t="shared" si="7"/>
        <v>93398.008072114128</v>
      </c>
      <c r="Q44" s="56" t="s">
        <v>256</v>
      </c>
      <c r="R44" s="51"/>
    </row>
    <row r="45" spans="1:26" x14ac:dyDescent="0.3">
      <c r="A45" s="56" t="s">
        <v>257</v>
      </c>
      <c r="B45" s="56" t="s">
        <v>258</v>
      </c>
      <c r="C45" s="57">
        <v>2</v>
      </c>
      <c r="D45" s="56" t="s">
        <v>259</v>
      </c>
      <c r="E45" s="57">
        <v>3.4973999999999998</v>
      </c>
      <c r="F45" s="57">
        <v>0.44850000000000001</v>
      </c>
      <c r="G45" s="57">
        <v>0.1074</v>
      </c>
      <c r="H45" s="49">
        <f t="shared" si="5"/>
        <v>4386.7657084952489</v>
      </c>
      <c r="I45" s="57">
        <v>2.25</v>
      </c>
      <c r="J45" s="57">
        <v>1.82</v>
      </c>
      <c r="K45" s="57">
        <v>1</v>
      </c>
      <c r="L45" s="57">
        <v>1</v>
      </c>
      <c r="M45" s="49">
        <f t="shared" si="6"/>
        <v>4.07</v>
      </c>
      <c r="N45" s="49">
        <f t="shared" si="8"/>
        <v>17854.136433575663</v>
      </c>
      <c r="O45" s="57">
        <v>1.7088161209999999</v>
      </c>
      <c r="P45" s="49">
        <f t="shared" si="7"/>
        <v>30509.436164227536</v>
      </c>
      <c r="Q45" s="56" t="s">
        <v>260</v>
      </c>
      <c r="R45" s="51"/>
    </row>
    <row r="46" spans="1:26" x14ac:dyDescent="0.3">
      <c r="A46" s="53" t="s">
        <v>261</v>
      </c>
      <c r="B46" s="53" t="s">
        <v>262</v>
      </c>
      <c r="C46" s="49">
        <v>40</v>
      </c>
      <c r="D46" s="53" t="s">
        <v>143</v>
      </c>
      <c r="E46" s="49">
        <v>4.3247</v>
      </c>
      <c r="F46" s="49">
        <v>-0.30299999999999999</v>
      </c>
      <c r="G46" s="49">
        <v>0.16339999999999999</v>
      </c>
      <c r="H46" s="49">
        <f t="shared" si="5"/>
        <v>18140.850500084314</v>
      </c>
      <c r="I46" s="49">
        <v>1.63</v>
      </c>
      <c r="J46" s="49">
        <v>1.66</v>
      </c>
      <c r="K46" s="49">
        <v>2.7</v>
      </c>
      <c r="L46" s="49">
        <v>1</v>
      </c>
      <c r="M46" s="49">
        <f t="shared" si="6"/>
        <v>6.1120000000000001</v>
      </c>
      <c r="N46" s="49">
        <f t="shared" si="8"/>
        <v>110876.87825651534</v>
      </c>
      <c r="O46" s="49">
        <v>1.7088161209999999</v>
      </c>
      <c r="P46" s="49">
        <f t="shared" si="7"/>
        <v>189468.19701088779</v>
      </c>
      <c r="Q46" s="53" t="s">
        <v>263</v>
      </c>
      <c r="R46" s="52">
        <f>SUM(P46:P50)</f>
        <v>659209.56100023014</v>
      </c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53" t="s">
        <v>264</v>
      </c>
      <c r="B47" s="53" t="s">
        <v>265</v>
      </c>
      <c r="C47" s="49">
        <v>25</v>
      </c>
      <c r="D47" s="53" t="s">
        <v>143</v>
      </c>
      <c r="E47" s="49">
        <v>4.3247</v>
      </c>
      <c r="F47" s="49">
        <v>-0.30299999999999999</v>
      </c>
      <c r="G47" s="49">
        <v>0.16339999999999999</v>
      </c>
      <c r="H47" s="49">
        <f t="shared" si="5"/>
        <v>16612.935676742978</v>
      </c>
      <c r="I47" s="49">
        <v>1.63</v>
      </c>
      <c r="J47" s="49">
        <v>1.66</v>
      </c>
      <c r="K47" s="49">
        <v>1</v>
      </c>
      <c r="L47" s="49">
        <v>1</v>
      </c>
      <c r="M47" s="49">
        <f t="shared" si="6"/>
        <v>3.29</v>
      </c>
      <c r="N47" s="49">
        <f t="shared" si="8"/>
        <v>54656.558376484398</v>
      </c>
      <c r="O47" s="49">
        <v>1.7088161209999999</v>
      </c>
      <c r="P47" s="49">
        <f t="shared" si="7"/>
        <v>93398.008072114128</v>
      </c>
      <c r="Q47" s="53" t="s">
        <v>266</v>
      </c>
      <c r="R47" s="52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53" t="s">
        <v>267</v>
      </c>
      <c r="B48" s="53" t="s">
        <v>268</v>
      </c>
      <c r="C48" s="49">
        <v>13</v>
      </c>
      <c r="D48" s="53" t="s">
        <v>143</v>
      </c>
      <c r="E48" s="49">
        <v>4.3247</v>
      </c>
      <c r="F48" s="49">
        <v>-0.30299999999999999</v>
      </c>
      <c r="G48" s="49">
        <v>0.16339999999999999</v>
      </c>
      <c r="H48" s="49">
        <f t="shared" si="5"/>
        <v>15485.787244031588</v>
      </c>
      <c r="I48" s="49">
        <v>1.63</v>
      </c>
      <c r="J48" s="49">
        <v>1.66</v>
      </c>
      <c r="K48" s="49">
        <v>2.7</v>
      </c>
      <c r="L48" s="49">
        <v>1</v>
      </c>
      <c r="M48" s="49">
        <f t="shared" si="6"/>
        <v>6.1120000000000001</v>
      </c>
      <c r="N48" s="49">
        <f t="shared" si="8"/>
        <v>94649.131635521073</v>
      </c>
      <c r="O48" s="49">
        <v>1.7088161209999999</v>
      </c>
      <c r="P48" s="49">
        <f t="shared" si="7"/>
        <v>161737.96197742948</v>
      </c>
      <c r="Q48" s="53" t="s">
        <v>269</v>
      </c>
      <c r="R48" s="52"/>
      <c r="S48" s="9"/>
      <c r="T48" s="9"/>
      <c r="U48" s="9"/>
      <c r="V48" s="9"/>
      <c r="W48" s="9"/>
      <c r="X48" s="9"/>
      <c r="Y48" s="9"/>
      <c r="Z48" s="9"/>
    </row>
    <row r="49" spans="1:33" x14ac:dyDescent="0.3">
      <c r="A49" s="53" t="s">
        <v>270</v>
      </c>
      <c r="B49" s="53" t="s">
        <v>271</v>
      </c>
      <c r="C49" s="49">
        <v>10</v>
      </c>
      <c r="D49" s="53" t="s">
        <v>143</v>
      </c>
      <c r="E49" s="49">
        <v>4.3247</v>
      </c>
      <c r="F49" s="49">
        <v>-0.30299999999999999</v>
      </c>
      <c r="G49" s="49">
        <v>0.16339999999999999</v>
      </c>
      <c r="H49" s="49">
        <f t="shared" si="5"/>
        <v>15314.400481900295</v>
      </c>
      <c r="I49" s="49">
        <v>1.63</v>
      </c>
      <c r="J49" s="49">
        <v>1.66</v>
      </c>
      <c r="K49" s="49">
        <v>1.8</v>
      </c>
      <c r="L49" s="49">
        <v>1</v>
      </c>
      <c r="M49" s="49">
        <f t="shared" si="6"/>
        <v>4.6180000000000003</v>
      </c>
      <c r="N49" s="49">
        <f t="shared" si="8"/>
        <v>70721.901425415563</v>
      </c>
      <c r="O49" s="49">
        <v>1.7088161209999999</v>
      </c>
      <c r="P49" s="49">
        <f t="shared" si="7"/>
        <v>120850.72526352298</v>
      </c>
      <c r="Q49" s="53" t="s">
        <v>272</v>
      </c>
      <c r="R49" s="52"/>
      <c r="S49" s="9"/>
      <c r="T49" s="9"/>
      <c r="U49" s="9"/>
      <c r="V49" s="9"/>
      <c r="W49" s="9"/>
      <c r="X49" s="9"/>
      <c r="Y49" s="9"/>
      <c r="Z49" s="9"/>
    </row>
    <row r="50" spans="1:33" x14ac:dyDescent="0.3">
      <c r="A50" s="53" t="s">
        <v>273</v>
      </c>
      <c r="B50" s="53" t="s">
        <v>274</v>
      </c>
      <c r="C50" s="49">
        <v>25.62</v>
      </c>
      <c r="D50" s="53" t="s">
        <v>143</v>
      </c>
      <c r="E50" s="49">
        <v>4.3247</v>
      </c>
      <c r="F50" s="49">
        <v>-0.30299999999999999</v>
      </c>
      <c r="G50" s="49">
        <v>0.16339999999999999</v>
      </c>
      <c r="H50" s="49">
        <f t="shared" si="5"/>
        <v>16676.375784274944</v>
      </c>
      <c r="I50" s="49">
        <v>1.63</v>
      </c>
      <c r="J50" s="49">
        <v>1.66</v>
      </c>
      <c r="K50" s="49">
        <v>1</v>
      </c>
      <c r="L50" s="49">
        <v>1</v>
      </c>
      <c r="M50" s="49">
        <f t="shared" si="6"/>
        <v>3.29</v>
      </c>
      <c r="N50" s="49">
        <f t="shared" si="8"/>
        <v>54865.276330264569</v>
      </c>
      <c r="O50" s="49">
        <v>1.7088161209999999</v>
      </c>
      <c r="P50" s="49">
        <f t="shared" si="7"/>
        <v>93754.668676275804</v>
      </c>
      <c r="Q50" s="53" t="s">
        <v>275</v>
      </c>
      <c r="R50" s="58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x14ac:dyDescent="0.3">
      <c r="A51" s="56" t="s">
        <v>276</v>
      </c>
      <c r="B51" s="56" t="s">
        <v>277</v>
      </c>
      <c r="C51" s="57">
        <v>1.6</v>
      </c>
      <c r="D51" s="56" t="s">
        <v>208</v>
      </c>
      <c r="E51" s="57">
        <v>3.3892000000000002</v>
      </c>
      <c r="F51" s="57">
        <v>5.3600000000000002E-2</v>
      </c>
      <c r="G51" s="57">
        <v>0.15379999999999999</v>
      </c>
      <c r="H51" s="49">
        <f t="shared" si="5"/>
        <v>2550.0512161221013</v>
      </c>
      <c r="I51" s="57">
        <v>1.89</v>
      </c>
      <c r="J51" s="57">
        <v>1.35</v>
      </c>
      <c r="K51" s="57">
        <v>2</v>
      </c>
      <c r="L51" s="57">
        <v>1</v>
      </c>
      <c r="M51" s="49">
        <f t="shared" si="6"/>
        <v>4.59</v>
      </c>
      <c r="N51" s="49">
        <f t="shared" si="8"/>
        <v>11704.735082000445</v>
      </c>
      <c r="O51" s="57">
        <v>1.7088161209999999</v>
      </c>
      <c r="P51" s="49">
        <f>N51*O51</f>
        <v>20001.240000156617</v>
      </c>
      <c r="Q51" s="56" t="s">
        <v>191</v>
      </c>
      <c r="R51" s="51">
        <f>SUM(P51:P60)</f>
        <v>316668.98755174555</v>
      </c>
    </row>
    <row r="52" spans="1:33" x14ac:dyDescent="0.3">
      <c r="A52" s="56" t="s">
        <v>278</v>
      </c>
      <c r="B52" s="56" t="s">
        <v>279</v>
      </c>
      <c r="C52" s="57">
        <v>1.2</v>
      </c>
      <c r="D52" s="56" t="s">
        <v>208</v>
      </c>
      <c r="E52" s="57">
        <v>3.3892000000000002</v>
      </c>
      <c r="F52" s="57">
        <v>5.3600000000000002E-2</v>
      </c>
      <c r="G52" s="57">
        <v>0.15379999999999999</v>
      </c>
      <c r="H52" s="49">
        <f t="shared" si="5"/>
        <v>2479.7528038630935</v>
      </c>
      <c r="I52" s="57">
        <v>1.89</v>
      </c>
      <c r="J52" s="57">
        <v>1.35</v>
      </c>
      <c r="K52" s="57">
        <v>2</v>
      </c>
      <c r="L52" s="57">
        <v>1</v>
      </c>
      <c r="M52" s="49">
        <f t="shared" si="6"/>
        <v>4.59</v>
      </c>
      <c r="N52" s="49">
        <f t="shared" si="8"/>
        <v>11382.065369731599</v>
      </c>
      <c r="O52" s="57">
        <v>1.7088161209999999</v>
      </c>
      <c r="P52" s="49">
        <f t="shared" si="7"/>
        <v>19449.856794073181</v>
      </c>
      <c r="Q52" s="56" t="s">
        <v>280</v>
      </c>
      <c r="R52" s="51"/>
    </row>
    <row r="53" spans="1:33" x14ac:dyDescent="0.3">
      <c r="A53" s="56" t="s">
        <v>281</v>
      </c>
      <c r="B53" s="56" t="s">
        <v>282</v>
      </c>
      <c r="C53" s="57">
        <v>50</v>
      </c>
      <c r="D53" s="56" t="s">
        <v>131</v>
      </c>
      <c r="E53" s="57">
        <v>2.2890999999999999</v>
      </c>
      <c r="F53" s="57">
        <v>1.3604000000000001</v>
      </c>
      <c r="G53" s="57">
        <v>-0.1027</v>
      </c>
      <c r="H53" s="49">
        <f t="shared" si="5"/>
        <v>20134.244531200744</v>
      </c>
      <c r="I53" s="57">
        <v>0</v>
      </c>
      <c r="J53" s="57">
        <v>1</v>
      </c>
      <c r="K53" s="57">
        <v>2</v>
      </c>
      <c r="L53" s="57">
        <v>1</v>
      </c>
      <c r="M53" s="49">
        <f t="shared" si="6"/>
        <v>2</v>
      </c>
      <c r="N53" s="49">
        <f t="shared" si="8"/>
        <v>40268.489062401488</v>
      </c>
      <c r="O53" s="57">
        <v>1.7088161209999999</v>
      </c>
      <c r="P53" s="49">
        <f t="shared" si="7"/>
        <v>68811.443278143837</v>
      </c>
      <c r="Q53" s="56" t="s">
        <v>187</v>
      </c>
      <c r="R53" s="51"/>
    </row>
    <row r="54" spans="1:33" x14ac:dyDescent="0.3">
      <c r="A54" s="56" t="s">
        <v>283</v>
      </c>
      <c r="B54" s="56" t="s">
        <v>284</v>
      </c>
      <c r="C54" s="57">
        <v>1.96</v>
      </c>
      <c r="D54" s="56" t="s">
        <v>285</v>
      </c>
      <c r="E54" s="56"/>
      <c r="F54" s="56"/>
      <c r="G54" s="56"/>
      <c r="H54" s="49">
        <f>IF(ISBLANK(E54), 7500, 10^(E54+F54*LOG10(C54)+G54*(LOG10(C54))^2))</f>
        <v>7500</v>
      </c>
      <c r="I54" s="57">
        <v>0</v>
      </c>
      <c r="J54" s="57">
        <v>1</v>
      </c>
      <c r="K54" s="57">
        <v>2.5</v>
      </c>
      <c r="L54" s="57">
        <v>1</v>
      </c>
      <c r="M54" s="49">
        <f t="shared" si="6"/>
        <v>2.5</v>
      </c>
      <c r="N54" s="49">
        <f t="shared" si="8"/>
        <v>18750</v>
      </c>
      <c r="O54" s="57">
        <v>1.7088161209999999</v>
      </c>
      <c r="P54" s="49">
        <f t="shared" si="7"/>
        <v>32040.302268749998</v>
      </c>
      <c r="Q54" s="56" t="s">
        <v>286</v>
      </c>
      <c r="R54" s="51"/>
    </row>
    <row r="55" spans="1:33" x14ac:dyDescent="0.3">
      <c r="A55" s="56" t="s">
        <v>287</v>
      </c>
      <c r="B55" s="56" t="s">
        <v>288</v>
      </c>
      <c r="C55" s="57">
        <v>2</v>
      </c>
      <c r="D55" s="56" t="s">
        <v>139</v>
      </c>
      <c r="E55" s="57">
        <v>3.4973999999999998</v>
      </c>
      <c r="F55" s="57">
        <v>0.44850000000000001</v>
      </c>
      <c r="G55" s="57">
        <v>0.1074</v>
      </c>
      <c r="H55" s="49">
        <f>IF(ISBLANK(E55), 18000, 10^(E55+F55*LOG10(C55)+G55*(LOG10(C55))^2))</f>
        <v>4386.7657084952489</v>
      </c>
      <c r="I55" s="57">
        <v>2.25</v>
      </c>
      <c r="J55" s="57">
        <v>1.82</v>
      </c>
      <c r="K55" s="57">
        <v>1</v>
      </c>
      <c r="L55" s="57">
        <v>1</v>
      </c>
      <c r="M55" s="49">
        <f t="shared" si="6"/>
        <v>4.07</v>
      </c>
      <c r="N55" s="49">
        <f t="shared" si="8"/>
        <v>17854.136433575663</v>
      </c>
      <c r="O55" s="57">
        <v>1.7088161209999999</v>
      </c>
      <c r="P55" s="49">
        <f t="shared" si="7"/>
        <v>30509.436164227536</v>
      </c>
      <c r="Q55" s="56" t="s">
        <v>187</v>
      </c>
      <c r="R55" s="51"/>
    </row>
    <row r="56" spans="1:33" x14ac:dyDescent="0.3">
      <c r="A56" s="56" t="s">
        <v>289</v>
      </c>
      <c r="B56" s="56" t="s">
        <v>290</v>
      </c>
      <c r="C56" s="57">
        <v>1</v>
      </c>
      <c r="D56" s="56" t="s">
        <v>139</v>
      </c>
      <c r="E56" s="57">
        <v>3.4973999999999998</v>
      </c>
      <c r="F56" s="57">
        <v>0.44850000000000001</v>
      </c>
      <c r="G56" s="57">
        <v>0.1074</v>
      </c>
      <c r="H56" s="49">
        <f>IF(ISBLANK(E56), 18000, 10^(E56+F56*LOG10(C56)+G56*(LOG10(C56))^2))</f>
        <v>3143.4025417390117</v>
      </c>
      <c r="I56" s="57">
        <v>2.25</v>
      </c>
      <c r="J56" s="57">
        <v>1.82</v>
      </c>
      <c r="K56" s="57">
        <v>1</v>
      </c>
      <c r="L56" s="57">
        <v>1</v>
      </c>
      <c r="M56" s="49">
        <f t="shared" si="6"/>
        <v>4.07</v>
      </c>
      <c r="N56" s="49">
        <f t="shared" si="8"/>
        <v>12793.648344877778</v>
      </c>
      <c r="O56" s="57">
        <v>1.7088161209999999</v>
      </c>
      <c r="P56" s="49">
        <f t="shared" si="7"/>
        <v>21861.992538132115</v>
      </c>
      <c r="Q56" s="56" t="s">
        <v>187</v>
      </c>
      <c r="R56" s="51"/>
    </row>
    <row r="57" spans="1:33" x14ac:dyDescent="0.3">
      <c r="A57" s="56" t="s">
        <v>291</v>
      </c>
      <c r="B57" s="56" t="s">
        <v>292</v>
      </c>
      <c r="C57" s="57">
        <v>5</v>
      </c>
      <c r="D57" s="56" t="s">
        <v>139</v>
      </c>
      <c r="E57" s="57">
        <v>3.4973999999999998</v>
      </c>
      <c r="F57" s="57">
        <v>0.44850000000000001</v>
      </c>
      <c r="G57" s="57">
        <v>0.1074</v>
      </c>
      <c r="H57" s="49">
        <f>IF(ISBLANK(E57), 18000, 10^(E57+F57*LOG10(C57)+G57*(LOG10(C57))^2))</f>
        <v>7300.6123832142466</v>
      </c>
      <c r="I57" s="57">
        <v>2.25</v>
      </c>
      <c r="J57" s="57">
        <v>1.82</v>
      </c>
      <c r="K57" s="57">
        <v>1</v>
      </c>
      <c r="L57" s="57">
        <v>1</v>
      </c>
      <c r="M57" s="49">
        <f t="shared" si="6"/>
        <v>4.07</v>
      </c>
      <c r="N57" s="49">
        <f t="shared" si="8"/>
        <v>29713.492399681985</v>
      </c>
      <c r="O57" s="57">
        <v>1.7088161209999999</v>
      </c>
      <c r="P57" s="49">
        <f t="shared" si="7"/>
        <v>50774.894823787552</v>
      </c>
      <c r="Q57" s="56" t="s">
        <v>187</v>
      </c>
      <c r="R57" s="51"/>
    </row>
    <row r="58" spans="1:33" x14ac:dyDescent="0.3">
      <c r="A58" s="56" t="s">
        <v>293</v>
      </c>
      <c r="B58" s="56" t="s">
        <v>294</v>
      </c>
      <c r="C58" s="57">
        <v>2</v>
      </c>
      <c r="D58" s="56" t="s">
        <v>139</v>
      </c>
      <c r="E58" s="57">
        <v>3.4973999999999998</v>
      </c>
      <c r="F58" s="57">
        <v>0.44850000000000001</v>
      </c>
      <c r="G58" s="57">
        <v>0.1074</v>
      </c>
      <c r="H58" s="49">
        <f>IF(ISBLANK(E58), 18000, 10^(E58+F58*LOG10(C58)+G58*(LOG10(C58))^2))</f>
        <v>4386.7657084952489</v>
      </c>
      <c r="I58" s="57">
        <v>2.25</v>
      </c>
      <c r="J58" s="57">
        <v>1.82</v>
      </c>
      <c r="K58" s="57">
        <v>1</v>
      </c>
      <c r="L58" s="57">
        <v>1</v>
      </c>
      <c r="M58" s="49">
        <f t="shared" si="6"/>
        <v>4.07</v>
      </c>
      <c r="N58" s="49">
        <f t="shared" si="8"/>
        <v>17854.136433575663</v>
      </c>
      <c r="O58" s="57">
        <v>1.7088161209999999</v>
      </c>
      <c r="P58" s="49">
        <f t="shared" si="7"/>
        <v>30509.436164227536</v>
      </c>
      <c r="Q58" s="56" t="s">
        <v>245</v>
      </c>
      <c r="R58" s="51"/>
    </row>
    <row r="59" spans="1:33" x14ac:dyDescent="0.3">
      <c r="A59" s="56" t="s">
        <v>295</v>
      </c>
      <c r="B59" s="56" t="s">
        <v>296</v>
      </c>
      <c r="C59" s="57">
        <v>1600</v>
      </c>
      <c r="D59" s="56" t="s">
        <v>297</v>
      </c>
      <c r="E59" s="56"/>
      <c r="F59" s="56"/>
      <c r="G59" s="56"/>
      <c r="H59" s="49">
        <f>IF(ISBLANK(E59), 2000, 10^(E59+F59*LOG10(C59)+G59*(LOG10(C59))^2))</f>
        <v>2000</v>
      </c>
      <c r="I59" s="57">
        <v>0</v>
      </c>
      <c r="J59" s="57">
        <v>1</v>
      </c>
      <c r="K59" s="57">
        <v>2</v>
      </c>
      <c r="L59" s="57">
        <v>1</v>
      </c>
      <c r="M59" s="49">
        <f t="shared" si="6"/>
        <v>2</v>
      </c>
      <c r="N59" s="49">
        <f t="shared" si="8"/>
        <v>4000</v>
      </c>
      <c r="O59" s="57">
        <v>1.7088161209999999</v>
      </c>
      <c r="P59" s="49">
        <f t="shared" si="7"/>
        <v>6835.2644839999994</v>
      </c>
      <c r="Q59" s="56" t="s">
        <v>298</v>
      </c>
      <c r="R59" s="51"/>
    </row>
    <row r="60" spans="1:33" x14ac:dyDescent="0.3">
      <c r="A60" s="56" t="s">
        <v>299</v>
      </c>
      <c r="B60" s="56" t="s">
        <v>300</v>
      </c>
      <c r="C60" s="57">
        <v>2</v>
      </c>
      <c r="D60" s="56" t="s">
        <v>301</v>
      </c>
      <c r="E60" s="57">
        <v>3.8511000000000002</v>
      </c>
      <c r="F60" s="57">
        <v>0.55830000000000002</v>
      </c>
      <c r="G60" s="57">
        <v>2.1000000000000001E-2</v>
      </c>
      <c r="H60" s="49">
        <f>IF(ISBLANK(E60), 18000, 10^(E60+F60*LOG10(C60)+G60*(LOG10(C60))^2))</f>
        <v>10497.068875746867</v>
      </c>
      <c r="I60" s="57">
        <v>0</v>
      </c>
      <c r="J60" s="57">
        <v>1</v>
      </c>
      <c r="K60" s="57">
        <v>2</v>
      </c>
      <c r="L60" s="57">
        <v>1</v>
      </c>
      <c r="M60" s="49">
        <f t="shared" si="6"/>
        <v>2</v>
      </c>
      <c r="N60" s="49">
        <f t="shared" si="8"/>
        <v>20994.137751493734</v>
      </c>
      <c r="O60" s="57">
        <v>1.7088161209999999</v>
      </c>
      <c r="P60" s="49">
        <f t="shared" si="7"/>
        <v>35875.121036247183</v>
      </c>
      <c r="Q60" s="56" t="s">
        <v>245</v>
      </c>
      <c r="R60" s="51"/>
    </row>
    <row r="61" spans="1:33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33" x14ac:dyDescent="0.3">
      <c r="A62" s="12"/>
      <c r="B62" s="12"/>
      <c r="C62" s="12"/>
      <c r="D62" s="12"/>
      <c r="E62" s="12"/>
      <c r="F62" s="12"/>
      <c r="G62" s="12"/>
      <c r="H62" s="10"/>
      <c r="I62" s="12"/>
      <c r="J62" s="12"/>
      <c r="K62" s="12"/>
    </row>
    <row r="63" spans="1:33" x14ac:dyDescent="0.3">
      <c r="A63" s="12"/>
      <c r="B63" s="12"/>
      <c r="C63" s="12"/>
      <c r="D63" s="12"/>
      <c r="E63" s="12"/>
      <c r="F63" s="12"/>
      <c r="G63" s="12"/>
      <c r="H63" s="10"/>
      <c r="I63" s="12"/>
      <c r="J63" s="12"/>
      <c r="K63" s="12"/>
      <c r="L63" s="10" t="s">
        <v>302</v>
      </c>
      <c r="M63" s="94" t="s">
        <v>303</v>
      </c>
      <c r="N63" s="92"/>
      <c r="O63" s="10"/>
      <c r="P63" s="49">
        <f>SUM(P2:P60)</f>
        <v>9927674.2111607771</v>
      </c>
      <c r="Q63" s="53"/>
    </row>
    <row r="64" spans="1:33" x14ac:dyDescent="0.3">
      <c r="A64" s="12"/>
      <c r="B64" s="12"/>
      <c r="C64" s="12"/>
      <c r="D64" s="12"/>
      <c r="E64" s="12"/>
      <c r="F64" s="12"/>
      <c r="G64" s="12"/>
      <c r="H64" s="10"/>
      <c r="I64" s="12"/>
      <c r="J64" s="12"/>
      <c r="K64" s="12"/>
      <c r="L64" s="12" t="s">
        <v>304</v>
      </c>
      <c r="M64" s="10" t="s">
        <v>305</v>
      </c>
      <c r="N64" s="53"/>
      <c r="O64" s="13">
        <v>1.35</v>
      </c>
      <c r="P64" s="49">
        <f>O64*P63</f>
        <v>13402360.18506705</v>
      </c>
      <c r="Q64" s="53"/>
    </row>
    <row r="65" spans="1:17" x14ac:dyDescent="0.3">
      <c r="A65" s="12"/>
      <c r="B65" s="12"/>
      <c r="C65" s="12"/>
      <c r="D65" s="12"/>
      <c r="E65" s="12"/>
      <c r="F65" s="12"/>
      <c r="G65" s="12"/>
      <c r="H65" s="10"/>
      <c r="I65" s="12"/>
      <c r="J65" s="12"/>
      <c r="K65" s="12"/>
      <c r="L65" s="12"/>
      <c r="M65" s="10" t="s">
        <v>306</v>
      </c>
      <c r="N65" s="53" t="s">
        <v>307</v>
      </c>
      <c r="O65" s="13">
        <v>0.05</v>
      </c>
      <c r="P65" s="49">
        <f>O65*P64</f>
        <v>670118.00925335253</v>
      </c>
      <c r="Q65" s="53"/>
    </row>
    <row r="66" spans="1:17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2"/>
      <c r="M66" s="10" t="s">
        <v>308</v>
      </c>
      <c r="N66" s="53" t="s">
        <v>309</v>
      </c>
      <c r="O66" s="13">
        <v>0.08</v>
      </c>
      <c r="P66" s="49">
        <f>O66*P64</f>
        <v>1072188.814805364</v>
      </c>
      <c r="Q66" s="53"/>
    </row>
    <row r="67" spans="1:17" x14ac:dyDescent="0.3">
      <c r="A67" s="12"/>
      <c r="B67" s="12"/>
      <c r="C67" s="12"/>
      <c r="D67" s="12"/>
      <c r="E67" s="12"/>
      <c r="F67" s="12"/>
      <c r="G67" s="12"/>
      <c r="H67" s="10"/>
      <c r="I67" s="12"/>
      <c r="J67" s="12"/>
      <c r="K67" s="12"/>
      <c r="L67" s="12"/>
      <c r="M67" s="10" t="s">
        <v>310</v>
      </c>
      <c r="N67" s="53" t="s">
        <v>311</v>
      </c>
      <c r="O67" s="13">
        <v>0.1</v>
      </c>
      <c r="P67" s="49">
        <f>O67*P64</f>
        <v>1340236.0185067051</v>
      </c>
      <c r="Q67" s="53"/>
    </row>
    <row r="68" spans="1:17" x14ac:dyDescent="0.3">
      <c r="A68" s="12"/>
      <c r="B68" s="12"/>
      <c r="C68" s="12"/>
      <c r="D68" s="12"/>
      <c r="E68" s="12"/>
      <c r="F68" s="12"/>
      <c r="G68" s="12"/>
      <c r="H68" s="10"/>
      <c r="I68" s="12"/>
      <c r="J68" s="12"/>
      <c r="K68" s="12"/>
      <c r="L68" s="10" t="s">
        <v>312</v>
      </c>
      <c r="M68" s="10" t="s">
        <v>313</v>
      </c>
      <c r="N68" s="53"/>
      <c r="O68" s="10"/>
      <c r="P68" s="49">
        <f>SUM(P64:P67)</f>
        <v>16484903.027632473</v>
      </c>
      <c r="Q68" s="53"/>
    </row>
    <row r="69" spans="1:17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2"/>
      <c r="M69" s="10" t="s">
        <v>314</v>
      </c>
      <c r="N69" s="53">
        <v>0.1</v>
      </c>
      <c r="O69" s="13">
        <v>0.1</v>
      </c>
      <c r="P69" s="49">
        <f>O69*P68</f>
        <v>1648490.3027632474</v>
      </c>
      <c r="Q69" s="53"/>
    </row>
    <row r="70" spans="1:17" x14ac:dyDescent="0.3">
      <c r="A70" s="12"/>
      <c r="B70" s="12"/>
      <c r="C70" s="12"/>
      <c r="D70" s="12"/>
      <c r="E70" s="12"/>
      <c r="F70" s="12"/>
      <c r="G70" s="12"/>
      <c r="H70" s="10"/>
      <c r="I70" s="12"/>
      <c r="J70" s="12"/>
      <c r="K70" s="12"/>
      <c r="L70" s="12"/>
      <c r="M70" s="10" t="s">
        <v>317</v>
      </c>
      <c r="N70" s="53">
        <v>0.15</v>
      </c>
      <c r="O70" s="13">
        <v>0.15</v>
      </c>
      <c r="P70" s="49">
        <f>(P68+P69)*O70</f>
        <v>2720008.9995593582</v>
      </c>
      <c r="Q70" s="53"/>
    </row>
    <row r="71" spans="1:17" x14ac:dyDescent="0.3">
      <c r="H71" s="9"/>
      <c r="L71" s="10" t="s">
        <v>315</v>
      </c>
      <c r="M71" s="10" t="s">
        <v>316</v>
      </c>
      <c r="N71" s="53"/>
      <c r="O71" s="10"/>
      <c r="P71" s="49">
        <f>SUM(P68:P70)</f>
        <v>20853402.329955079</v>
      </c>
      <c r="Q71" s="53"/>
    </row>
    <row r="72" spans="1:17" x14ac:dyDescent="0.3">
      <c r="H72" s="9"/>
      <c r="M72" s="9"/>
      <c r="N72" s="52"/>
      <c r="P72" s="52"/>
    </row>
    <row r="73" spans="1:17" x14ac:dyDescent="0.3">
      <c r="H73" s="9"/>
      <c r="M73" s="9"/>
      <c r="N73" s="52"/>
      <c r="P73" s="52"/>
    </row>
    <row r="74" spans="1:17" x14ac:dyDescent="0.3">
      <c r="H74" s="9"/>
      <c r="M74" s="9"/>
      <c r="N74" s="52"/>
      <c r="P74" s="52"/>
    </row>
    <row r="75" spans="1:17" x14ac:dyDescent="0.3">
      <c r="H75" s="9"/>
      <c r="M75" s="9"/>
      <c r="N75" s="52"/>
      <c r="P75" s="52"/>
    </row>
    <row r="76" spans="1:17" x14ac:dyDescent="0.3">
      <c r="H76" s="9"/>
      <c r="M76" s="9"/>
      <c r="N76" s="52"/>
      <c r="P76" s="52"/>
    </row>
    <row r="77" spans="1:17" x14ac:dyDescent="0.3">
      <c r="H77" s="9"/>
      <c r="M77" s="9"/>
      <c r="N77" s="52"/>
      <c r="P77" s="52"/>
    </row>
    <row r="78" spans="1:17" x14ac:dyDescent="0.3">
      <c r="H78" s="9"/>
      <c r="M78" s="9"/>
      <c r="N78" s="52"/>
      <c r="P78" s="52"/>
    </row>
    <row r="79" spans="1:17" x14ac:dyDescent="0.3">
      <c r="H79" s="9"/>
      <c r="M79" s="9"/>
      <c r="N79" s="52"/>
      <c r="P79" s="52"/>
    </row>
    <row r="80" spans="1:17" x14ac:dyDescent="0.3">
      <c r="H80" s="9"/>
      <c r="M80" s="9"/>
      <c r="N80" s="52"/>
      <c r="P80" s="52"/>
    </row>
    <row r="81" spans="8:16" x14ac:dyDescent="0.3">
      <c r="H81" s="9"/>
      <c r="M81" s="9"/>
      <c r="N81" s="52"/>
      <c r="P81" s="52"/>
    </row>
    <row r="82" spans="8:16" x14ac:dyDescent="0.3">
      <c r="H82" s="9"/>
      <c r="M82" s="9"/>
      <c r="N82" s="52"/>
      <c r="P82" s="52"/>
    </row>
    <row r="83" spans="8:16" x14ac:dyDescent="0.3">
      <c r="H83" s="9"/>
      <c r="M83" s="9"/>
      <c r="N83" s="52"/>
      <c r="P83" s="52"/>
    </row>
    <row r="84" spans="8:16" x14ac:dyDescent="0.3">
      <c r="H84" s="9"/>
      <c r="M84" s="9"/>
      <c r="N84" s="52"/>
      <c r="P84" s="52"/>
    </row>
    <row r="85" spans="8:16" x14ac:dyDescent="0.3">
      <c r="H85" s="9"/>
      <c r="M85" s="9"/>
      <c r="N85" s="52"/>
      <c r="P85" s="52"/>
    </row>
    <row r="86" spans="8:16" x14ac:dyDescent="0.3">
      <c r="H86" s="9"/>
      <c r="M86" s="9"/>
      <c r="N86" s="52"/>
      <c r="P86" s="52"/>
    </row>
    <row r="87" spans="8:16" x14ac:dyDescent="0.3">
      <c r="H87" s="9"/>
      <c r="M87" s="9"/>
      <c r="N87" s="52"/>
      <c r="P87" s="52"/>
    </row>
    <row r="88" spans="8:16" x14ac:dyDescent="0.3">
      <c r="H88" s="9"/>
      <c r="M88" s="9"/>
      <c r="N88" s="52"/>
      <c r="P88" s="52"/>
    </row>
    <row r="89" spans="8:16" x14ac:dyDescent="0.3">
      <c r="H89" s="9"/>
      <c r="M89" s="9"/>
      <c r="N89" s="52"/>
      <c r="P89" s="52"/>
    </row>
    <row r="90" spans="8:16" x14ac:dyDescent="0.3">
      <c r="H90" s="9"/>
      <c r="M90" s="9"/>
      <c r="N90" s="52"/>
      <c r="P90" s="52"/>
    </row>
    <row r="91" spans="8:16" x14ac:dyDescent="0.3">
      <c r="H91" s="9"/>
      <c r="M91" s="9"/>
      <c r="N91" s="52"/>
      <c r="P91" s="52"/>
    </row>
    <row r="92" spans="8:16" x14ac:dyDescent="0.3">
      <c r="H92" s="9"/>
      <c r="M92" s="9"/>
      <c r="N92" s="52"/>
      <c r="P92" s="52"/>
    </row>
  </sheetData>
  <mergeCells count="1">
    <mergeCell ref="M63:N63"/>
  </mergeCells>
  <hyperlinks>
    <hyperlink ref="R7" r:id="rId1" xr:uid="{00000000-0004-0000-0200-000000000000}"/>
    <hyperlink ref="R9" r:id="rId2" xr:uid="{00000000-0004-0000-0200-000001000000}"/>
    <hyperlink ref="R43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9"/>
  <sheetViews>
    <sheetView topLeftCell="A51" zoomScale="120" zoomScaleNormal="181" workbookViewId="0">
      <selection activeCell="B69" sqref="B69"/>
    </sheetView>
  </sheetViews>
  <sheetFormatPr defaultRowHeight="14.4" x14ac:dyDescent="0.3"/>
  <cols>
    <col min="1" max="1" width="5" customWidth="1"/>
    <col min="2" max="2" width="40.5546875" customWidth="1"/>
    <col min="3" max="3" width="17.109375" customWidth="1"/>
    <col min="4" max="4" width="15" customWidth="1"/>
    <col min="5" max="5" width="18.21875" customWidth="1"/>
    <col min="6" max="7" width="15" customWidth="1"/>
    <col min="9" max="9" width="32.109375" customWidth="1"/>
    <col min="10" max="10" width="10.109375" customWidth="1"/>
    <col min="11" max="11" width="17.88671875" customWidth="1"/>
    <col min="12" max="12" width="14.109375" customWidth="1"/>
    <col min="13" max="13" width="15.77734375" customWidth="1"/>
    <col min="14" max="14" width="14.21875" customWidth="1"/>
    <col min="15" max="15" width="13.6640625" customWidth="1"/>
  </cols>
  <sheetData>
    <row r="1" spans="1:7" x14ac:dyDescent="0.3">
      <c r="F1" s="21" t="s">
        <v>0</v>
      </c>
      <c r="G1" s="21"/>
    </row>
    <row r="2" spans="1:7" x14ac:dyDescent="0.3">
      <c r="F2" s="21" t="s">
        <v>1</v>
      </c>
      <c r="G2" s="21"/>
    </row>
    <row r="3" spans="1:7" x14ac:dyDescent="0.3">
      <c r="A3" s="82" t="s">
        <v>378</v>
      </c>
      <c r="B3" s="82"/>
      <c r="C3" s="82"/>
      <c r="D3" s="82"/>
      <c r="E3" s="82"/>
      <c r="F3" s="82"/>
      <c r="G3" s="82"/>
    </row>
    <row r="4" spans="1:7" x14ac:dyDescent="0.3">
      <c r="A4" s="72" t="s">
        <v>377</v>
      </c>
      <c r="B4" s="69"/>
      <c r="C4" s="69"/>
      <c r="D4" s="69"/>
      <c r="E4" s="72" t="s">
        <v>2</v>
      </c>
      <c r="F4" s="69"/>
      <c r="G4" s="69"/>
    </row>
    <row r="5" spans="1:7" x14ac:dyDescent="0.3">
      <c r="A5" s="72" t="s">
        <v>3</v>
      </c>
      <c r="B5" s="69"/>
      <c r="C5" s="69"/>
      <c r="D5" s="69"/>
      <c r="E5" s="72" t="s">
        <v>328</v>
      </c>
      <c r="F5" s="69"/>
      <c r="G5" s="69"/>
    </row>
    <row r="6" spans="1:7" x14ac:dyDescent="0.3">
      <c r="A6" s="65" t="s">
        <v>326</v>
      </c>
      <c r="B6" s="66"/>
      <c r="C6" s="24">
        <f>CashFlow!B10</f>
        <v>19946732.663435291</v>
      </c>
      <c r="D6" s="21"/>
      <c r="E6" s="23" t="s">
        <v>318</v>
      </c>
      <c r="F6" s="73">
        <v>394.3</v>
      </c>
      <c r="G6" s="74"/>
    </row>
    <row r="7" spans="1:7" x14ac:dyDescent="0.3">
      <c r="A7" s="65" t="s">
        <v>327</v>
      </c>
      <c r="B7" s="66"/>
      <c r="C7" s="24">
        <f>CashFlow!B6</f>
        <v>2010354.0277600575</v>
      </c>
      <c r="D7" s="21"/>
      <c r="E7" s="23" t="s">
        <v>319</v>
      </c>
      <c r="F7" s="76">
        <v>673.8</v>
      </c>
      <c r="G7" s="76"/>
    </row>
    <row r="8" spans="1:7" x14ac:dyDescent="0.3">
      <c r="A8" s="65" t="s">
        <v>33</v>
      </c>
      <c r="B8" s="66"/>
      <c r="C8" s="24">
        <f>CashFlow!B11</f>
        <v>1244957.25556125</v>
      </c>
      <c r="D8" s="21"/>
      <c r="E8" s="22" t="s">
        <v>325</v>
      </c>
      <c r="F8" s="89">
        <f>F7/F6</f>
        <v>1.7088511285822976</v>
      </c>
      <c r="G8" s="90"/>
    </row>
    <row r="9" spans="1:7" x14ac:dyDescent="0.3">
      <c r="A9" s="65" t="s">
        <v>48</v>
      </c>
      <c r="B9" s="66"/>
      <c r="C9" s="21">
        <f>CashFlow!B19</f>
        <v>4000</v>
      </c>
      <c r="D9" s="21"/>
      <c r="E9" s="23" t="s">
        <v>320</v>
      </c>
      <c r="F9" s="76">
        <v>330</v>
      </c>
      <c r="G9" s="76"/>
    </row>
    <row r="10" spans="1:7" x14ac:dyDescent="0.3">
      <c r="A10" s="65" t="s">
        <v>333</v>
      </c>
      <c r="B10" s="66"/>
      <c r="C10" s="41">
        <f>CashFlow!B73</f>
        <v>0.1481601412203235</v>
      </c>
      <c r="D10" s="21"/>
      <c r="E10" s="23" t="s">
        <v>321</v>
      </c>
      <c r="F10" s="77">
        <v>31384.63</v>
      </c>
      <c r="G10" s="78"/>
    </row>
    <row r="11" spans="1:7" x14ac:dyDescent="0.3">
      <c r="A11" s="65" t="s">
        <v>375</v>
      </c>
      <c r="B11" s="66"/>
      <c r="C11" s="41">
        <f>CashFlow!B15</f>
        <v>0.08</v>
      </c>
      <c r="D11" s="21"/>
      <c r="E11" s="23" t="s">
        <v>376</v>
      </c>
      <c r="F11" s="80">
        <f>CashFlow!B16</f>
        <v>0.04</v>
      </c>
      <c r="G11" s="81"/>
    </row>
    <row r="12" spans="1:7" x14ac:dyDescent="0.3">
      <c r="A12" s="75" t="s">
        <v>104</v>
      </c>
      <c r="B12" s="75"/>
      <c r="C12" s="62">
        <f>CashFlow!B71*1000000</f>
        <v>14864690.543887012</v>
      </c>
      <c r="D12" s="21"/>
      <c r="E12" s="23" t="s">
        <v>45</v>
      </c>
      <c r="F12" s="80">
        <f>CashFlow!B17</f>
        <v>0.04</v>
      </c>
      <c r="G12" s="81"/>
    </row>
    <row r="13" spans="1:7" x14ac:dyDescent="0.3">
      <c r="A13" s="65" t="s">
        <v>373</v>
      </c>
      <c r="B13" s="66"/>
      <c r="C13" s="61">
        <f>CashFlow!B74</f>
        <v>405.26442515099257</v>
      </c>
      <c r="E13" s="16"/>
      <c r="F13" s="60"/>
      <c r="G13" s="60"/>
    </row>
    <row r="15" spans="1:7" ht="28.8" x14ac:dyDescent="0.3">
      <c r="A15" s="79" t="s">
        <v>22</v>
      </c>
      <c r="B15" s="79"/>
      <c r="C15" s="28" t="s">
        <v>23</v>
      </c>
      <c r="D15" s="28" t="s">
        <v>24</v>
      </c>
      <c r="E15" s="28" t="s">
        <v>25</v>
      </c>
      <c r="F15" s="28" t="s">
        <v>26</v>
      </c>
      <c r="G15" s="28" t="s">
        <v>322</v>
      </c>
    </row>
    <row r="16" spans="1:7" x14ac:dyDescent="0.3">
      <c r="A16" s="67" t="s">
        <v>4</v>
      </c>
      <c r="B16" s="67"/>
      <c r="C16" s="25">
        <f>CashFlow!H7</f>
        <v>755.99</v>
      </c>
      <c r="D16" s="25">
        <f>CashFlow!I7</f>
        <v>5987.4407999999994</v>
      </c>
      <c r="E16" s="25">
        <f>CashFlow!J7</f>
        <v>35</v>
      </c>
      <c r="F16" s="24">
        <f>CashFlow!K7</f>
        <v>209560.42799999999</v>
      </c>
      <c r="G16" s="24">
        <f>F16/$F$10</f>
        <v>6.6771673905347928</v>
      </c>
    </row>
    <row r="17" spans="1:7" x14ac:dyDescent="0.3">
      <c r="A17" s="67" t="s">
        <v>5</v>
      </c>
      <c r="B17" s="67"/>
      <c r="C17" s="25">
        <f>CashFlow!H8</f>
        <v>2285</v>
      </c>
      <c r="D17" s="25">
        <f>CashFlow!I8</f>
        <v>18097.2</v>
      </c>
      <c r="E17" s="25">
        <f>CashFlow!J8</f>
        <v>180</v>
      </c>
      <c r="F17" s="24">
        <f>CashFlow!K8</f>
        <v>3257496</v>
      </c>
      <c r="G17" s="24">
        <f>F17/$F$10</f>
        <v>103.79271637103894</v>
      </c>
    </row>
    <row r="18" spans="1:7" x14ac:dyDescent="0.3">
      <c r="A18" s="67" t="s">
        <v>6</v>
      </c>
      <c r="B18" s="67"/>
      <c r="C18" s="25">
        <f>CashFlow!H9</f>
        <v>650</v>
      </c>
      <c r="D18" s="25">
        <f>CashFlow!I9</f>
        <v>5148</v>
      </c>
      <c r="E18" s="25">
        <f>CashFlow!J9</f>
        <v>310</v>
      </c>
      <c r="F18" s="24">
        <f>CashFlow!K9</f>
        <v>1595880</v>
      </c>
      <c r="G18" s="24">
        <f>F18/$F$10</f>
        <v>50.849093967333687</v>
      </c>
    </row>
    <row r="19" spans="1:7" x14ac:dyDescent="0.3">
      <c r="A19" s="67" t="s">
        <v>7</v>
      </c>
      <c r="B19" s="67"/>
      <c r="C19" s="25">
        <f>CashFlow!H10</f>
        <v>329.25</v>
      </c>
      <c r="D19" s="25">
        <f>CashFlow!I10</f>
        <v>2607.66</v>
      </c>
      <c r="E19" s="25">
        <f>CashFlow!J10</f>
        <v>450</v>
      </c>
      <c r="F19" s="24">
        <f>CashFlow!K10</f>
        <v>1173447</v>
      </c>
      <c r="G19" s="24">
        <f>F19/$F$10</f>
        <v>37.389225235409818</v>
      </c>
    </row>
    <row r="20" spans="1:7" s="1" customFormat="1" x14ac:dyDescent="0.3">
      <c r="A20" s="67" t="s">
        <v>8</v>
      </c>
      <c r="B20" s="67"/>
      <c r="C20" s="25">
        <f>CashFlow!H11</f>
        <v>833.33</v>
      </c>
      <c r="D20" s="25">
        <f>CashFlow!I11</f>
        <v>6599.9736000000003</v>
      </c>
      <c r="E20" s="25">
        <f>CashFlow!J11</f>
        <v>2.73</v>
      </c>
      <c r="F20" s="24">
        <f>CashFlow!K11</f>
        <v>18017.927928000001</v>
      </c>
      <c r="G20" s="24">
        <f>F20/$F$10</f>
        <v>0.57410037741403996</v>
      </c>
    </row>
    <row r="21" spans="1:7" x14ac:dyDescent="0.3">
      <c r="A21" s="68" t="s">
        <v>323</v>
      </c>
      <c r="B21" s="68"/>
      <c r="C21" s="26">
        <f>SUM(C16:C20)</f>
        <v>4853.57</v>
      </c>
      <c r="D21" s="26">
        <f>SUM(D16:D20)</f>
        <v>38440.274400000002</v>
      </c>
      <c r="E21" s="22"/>
      <c r="F21" s="27">
        <f>SUM(F16:F20)</f>
        <v>6254401.3559279991</v>
      </c>
      <c r="G21" s="27">
        <f>SUM(G16:G20)</f>
        <v>199.28230334173125</v>
      </c>
    </row>
    <row r="23" spans="1:7" ht="28.8" x14ac:dyDescent="0.3">
      <c r="A23" s="70" t="s">
        <v>56</v>
      </c>
      <c r="B23" s="71"/>
      <c r="C23" s="40" t="s">
        <v>22</v>
      </c>
      <c r="D23" s="30" t="s">
        <v>57</v>
      </c>
      <c r="E23" s="30" t="s">
        <v>25</v>
      </c>
      <c r="F23" s="30" t="s">
        <v>58</v>
      </c>
      <c r="G23" s="30" t="s">
        <v>322</v>
      </c>
    </row>
    <row r="24" spans="1:7" x14ac:dyDescent="0.3">
      <c r="A24" s="69" t="s">
        <v>329</v>
      </c>
      <c r="B24" s="69"/>
      <c r="C24" s="21"/>
      <c r="D24" s="21">
        <f>C9</f>
        <v>4000</v>
      </c>
      <c r="E24" s="21">
        <f>CashFlow!B20</f>
        <v>450</v>
      </c>
      <c r="F24" s="21">
        <f>D24*E24</f>
        <v>1800000</v>
      </c>
      <c r="G24" s="21">
        <f>F24/$F$10</f>
        <v>57.352914468005515</v>
      </c>
    </row>
    <row r="25" spans="1:7" x14ac:dyDescent="0.3">
      <c r="A25" s="69" t="s">
        <v>330</v>
      </c>
      <c r="B25" s="69"/>
      <c r="C25" s="21"/>
      <c r="D25" s="21">
        <f>F10-C9</f>
        <v>27384.63</v>
      </c>
      <c r="E25" s="21">
        <f>CashFlow!B21</f>
        <v>480</v>
      </c>
      <c r="F25" s="21">
        <f>D25*E25</f>
        <v>13144622.4</v>
      </c>
      <c r="G25" s="21">
        <f>F25/$F$10</f>
        <v>418.82355790079413</v>
      </c>
    </row>
    <row r="26" spans="1:7" x14ac:dyDescent="0.3">
      <c r="A26" s="69" t="s">
        <v>9</v>
      </c>
      <c r="B26" s="69"/>
      <c r="C26" s="34">
        <f>CashFlow!B25</f>
        <v>260.37</v>
      </c>
      <c r="D26" s="34">
        <f>CashFlow!C25</f>
        <v>2062.1304</v>
      </c>
      <c r="E26" s="34">
        <f>CashFlow!D25</f>
        <v>20</v>
      </c>
      <c r="F26" s="34">
        <f>CashFlow!E25</f>
        <v>41242.608</v>
      </c>
      <c r="G26" s="31">
        <f>F26/$F$10</f>
        <v>1.3141020939230446</v>
      </c>
    </row>
    <row r="27" spans="1:7" x14ac:dyDescent="0.3">
      <c r="A27" s="69" t="s">
        <v>10</v>
      </c>
      <c r="B27" s="69"/>
      <c r="C27" s="34">
        <f>CashFlow!B26</f>
        <v>57.75</v>
      </c>
      <c r="D27" s="34">
        <f>CashFlow!C26</f>
        <v>457.38</v>
      </c>
      <c r="E27" s="34">
        <f>CashFlow!D26</f>
        <v>50</v>
      </c>
      <c r="F27" s="34">
        <f>CashFlow!E26</f>
        <v>22869</v>
      </c>
      <c r="G27" s="31">
        <f>F27/$F$10</f>
        <v>0.72866877831601007</v>
      </c>
    </row>
    <row r="28" spans="1:7" x14ac:dyDescent="0.3">
      <c r="A28" s="68" t="s">
        <v>331</v>
      </c>
      <c r="B28" s="68"/>
      <c r="C28" s="31"/>
      <c r="D28" s="31"/>
      <c r="E28" s="31"/>
      <c r="F28" s="32">
        <f>SUM(F24:F27)</f>
        <v>15008734.007999999</v>
      </c>
      <c r="G28" s="33">
        <f>SUM(G24:G27)</f>
        <v>478.21924324103873</v>
      </c>
    </row>
    <row r="30" spans="1:7" ht="28.8" x14ac:dyDescent="0.3">
      <c r="A30" s="63" t="s">
        <v>324</v>
      </c>
      <c r="B30" s="64"/>
      <c r="C30" s="29" t="s">
        <v>39</v>
      </c>
      <c r="D30" s="29" t="s">
        <v>40</v>
      </c>
      <c r="E30" s="29" t="s">
        <v>41</v>
      </c>
      <c r="F30" s="29" t="s">
        <v>26</v>
      </c>
      <c r="G30" s="29" t="s">
        <v>322</v>
      </c>
    </row>
    <row r="31" spans="1:7" x14ac:dyDescent="0.3">
      <c r="A31" s="87" t="s">
        <v>42</v>
      </c>
      <c r="B31" s="88"/>
      <c r="C31" s="35">
        <f>CashFlow!H15</f>
        <v>150</v>
      </c>
      <c r="D31" s="21">
        <f>CashFlow!I15</f>
        <v>1188000</v>
      </c>
      <c r="E31" s="21">
        <f>CashFlow!J15</f>
        <v>0.11</v>
      </c>
      <c r="F31" s="24">
        <f>CashFlow!K15</f>
        <v>131179.7209891144</v>
      </c>
      <c r="G31" s="36">
        <f t="shared" ref="G31:G40" si="0">F31/$F$10</f>
        <v>4.1797440654586149</v>
      </c>
    </row>
    <row r="32" spans="1:7" x14ac:dyDescent="0.3">
      <c r="A32" s="87" t="s">
        <v>44</v>
      </c>
      <c r="B32" s="88"/>
      <c r="C32" s="37">
        <f>CashFlow!H16</f>
        <v>40</v>
      </c>
      <c r="D32" s="21">
        <f>CashFlow!I16</f>
        <v>316800</v>
      </c>
      <c r="E32" s="21">
        <f>CashFlow!J16</f>
        <v>2.730626150399361</v>
      </c>
      <c r="F32" s="24">
        <f>CashFlow!K16</f>
        <v>865312.22494107473</v>
      </c>
      <c r="G32" s="36">
        <f t="shared" si="0"/>
        <v>27.571210013980561</v>
      </c>
    </row>
    <row r="33" spans="1:7" x14ac:dyDescent="0.3">
      <c r="A33" s="87" t="s">
        <v>51</v>
      </c>
      <c r="B33" s="88"/>
      <c r="C33" s="21"/>
      <c r="D33" s="21"/>
      <c r="E33" s="21"/>
      <c r="F33" s="38">
        <f>CashFlow!K20</f>
        <v>1230000</v>
      </c>
      <c r="G33" s="36">
        <f t="shared" si="0"/>
        <v>39.191158219803768</v>
      </c>
    </row>
    <row r="34" spans="1:7" x14ac:dyDescent="0.3">
      <c r="A34" s="87" t="s">
        <v>53</v>
      </c>
      <c r="B34" s="88"/>
      <c r="C34" s="21"/>
      <c r="D34" s="21"/>
      <c r="E34" s="21"/>
      <c r="F34" s="38">
        <f>CashFlow!K21</f>
        <v>180000</v>
      </c>
      <c r="G34" s="36">
        <f t="shared" si="0"/>
        <v>5.7352914468005514</v>
      </c>
    </row>
    <row r="35" spans="1:7" x14ac:dyDescent="0.3">
      <c r="A35" s="87" t="s">
        <v>61</v>
      </c>
      <c r="B35" s="88"/>
      <c r="C35" s="21" t="s">
        <v>62</v>
      </c>
      <c r="D35" s="21"/>
      <c r="E35" s="21"/>
      <c r="F35" s="38">
        <f>CashFlow!K25</f>
        <v>822000</v>
      </c>
      <c r="G35" s="36">
        <f t="shared" si="0"/>
        <v>26.191164273722517</v>
      </c>
    </row>
    <row r="36" spans="1:7" x14ac:dyDescent="0.3">
      <c r="A36" s="87" t="s">
        <v>12</v>
      </c>
      <c r="B36" s="88"/>
      <c r="C36" s="21" t="s">
        <v>63</v>
      </c>
      <c r="D36" s="21"/>
      <c r="E36" s="21"/>
      <c r="F36" s="38">
        <f>CashFlow!K26</f>
        <v>804141.61110402294</v>
      </c>
      <c r="G36" s="36">
        <f t="shared" si="0"/>
        <v>25.622147245451767</v>
      </c>
    </row>
    <row r="37" spans="1:7" x14ac:dyDescent="0.3">
      <c r="A37" s="87" t="s">
        <v>65</v>
      </c>
      <c r="B37" s="88"/>
      <c r="C37" s="21" t="s">
        <v>66</v>
      </c>
      <c r="D37" s="21"/>
      <c r="E37" s="21"/>
      <c r="F37" s="38">
        <f>CashFlow!K27</f>
        <v>201035.40277600574</v>
      </c>
      <c r="G37" s="36">
        <f t="shared" si="0"/>
        <v>6.4055368113629418</v>
      </c>
    </row>
    <row r="38" spans="1:7" x14ac:dyDescent="0.3">
      <c r="A38" s="87" t="s">
        <v>67</v>
      </c>
      <c r="B38" s="88"/>
      <c r="C38" s="21" t="s">
        <v>336</v>
      </c>
      <c r="D38" s="21"/>
      <c r="E38" s="21"/>
      <c r="F38" s="38">
        <f>CashFlow!K28</f>
        <v>582731.42632101465</v>
      </c>
      <c r="G38" s="36">
        <f t="shared" si="0"/>
        <v>18.567414250893339</v>
      </c>
    </row>
    <row r="39" spans="1:7" x14ac:dyDescent="0.3">
      <c r="A39" s="87" t="s">
        <v>68</v>
      </c>
      <c r="B39" s="88"/>
      <c r="C39" s="21" t="s">
        <v>69</v>
      </c>
      <c r="D39" s="21"/>
      <c r="E39" s="21"/>
      <c r="F39" s="38">
        <f>CashFlow!K29</f>
        <v>10000</v>
      </c>
      <c r="G39" s="36">
        <f t="shared" si="0"/>
        <v>0.31862730260003064</v>
      </c>
    </row>
    <row r="40" spans="1:7" s="1" customFormat="1" x14ac:dyDescent="0.3">
      <c r="A40" s="87" t="s">
        <v>70</v>
      </c>
      <c r="B40" s="88"/>
      <c r="C40" s="21" t="s">
        <v>69</v>
      </c>
      <c r="D40" s="21"/>
      <c r="E40" s="21"/>
      <c r="F40" s="38">
        <f>CashFlow!K30</f>
        <v>15000</v>
      </c>
      <c r="G40" s="36">
        <f t="shared" si="0"/>
        <v>0.47794095390004598</v>
      </c>
    </row>
    <row r="41" spans="1:7" x14ac:dyDescent="0.3">
      <c r="A41" s="83" t="s">
        <v>31</v>
      </c>
      <c r="B41" s="84"/>
      <c r="C41" s="21"/>
      <c r="D41" s="21"/>
      <c r="E41" s="21"/>
      <c r="F41" s="21">
        <f>CashFlow!B9</f>
        <v>1813339.3330395722</v>
      </c>
      <c r="G41" s="36">
        <f>F41/F10</f>
        <v>57.777942038493755</v>
      </c>
    </row>
    <row r="42" spans="1:7" x14ac:dyDescent="0.3">
      <c r="A42" s="85" t="s">
        <v>332</v>
      </c>
      <c r="B42" s="86"/>
      <c r="C42" s="22"/>
      <c r="D42" s="22"/>
      <c r="E42" s="22"/>
      <c r="F42" s="27">
        <f>SUM(F31:F41)</f>
        <v>6654739.7191708051</v>
      </c>
      <c r="G42" s="39">
        <f>SUM(G31:G41)</f>
        <v>212.03817662246789</v>
      </c>
    </row>
    <row r="45" spans="1:7" x14ac:dyDescent="0.3">
      <c r="G45" s="1"/>
    </row>
    <row r="52" spans="1:1" x14ac:dyDescent="0.3">
      <c r="A52" s="1"/>
    </row>
    <row r="56" spans="1:1" x14ac:dyDescent="0.3">
      <c r="A56" s="12"/>
    </row>
    <row r="57" spans="1:1" x14ac:dyDescent="0.3">
      <c r="A57" s="12"/>
    </row>
    <row r="59" spans="1:1" x14ac:dyDescent="0.3">
      <c r="A59" s="1"/>
    </row>
  </sheetData>
  <mergeCells count="46">
    <mergeCell ref="A31:B31"/>
    <mergeCell ref="A32:B32"/>
    <mergeCell ref="A33:B33"/>
    <mergeCell ref="A34:B34"/>
    <mergeCell ref="A35:B35"/>
    <mergeCell ref="A41:B41"/>
    <mergeCell ref="A42:B42"/>
    <mergeCell ref="A36:B36"/>
    <mergeCell ref="A37:B37"/>
    <mergeCell ref="A38:B38"/>
    <mergeCell ref="A39:B39"/>
    <mergeCell ref="A40:B40"/>
    <mergeCell ref="A15:B15"/>
    <mergeCell ref="F11:G11"/>
    <mergeCell ref="F12:G12"/>
    <mergeCell ref="A3:G3"/>
    <mergeCell ref="A13:B13"/>
    <mergeCell ref="F8:G8"/>
    <mergeCell ref="A6:B6"/>
    <mergeCell ref="A11:B11"/>
    <mergeCell ref="A12:B12"/>
    <mergeCell ref="A7:B7"/>
    <mergeCell ref="F7:G7"/>
    <mergeCell ref="F9:G9"/>
    <mergeCell ref="F10:G10"/>
    <mergeCell ref="A4:D4"/>
    <mergeCell ref="E4:G4"/>
    <mergeCell ref="A5:D5"/>
    <mergeCell ref="E5:G5"/>
    <mergeCell ref="F6:G6"/>
    <mergeCell ref="A30:B30"/>
    <mergeCell ref="A8:B8"/>
    <mergeCell ref="A9:B9"/>
    <mergeCell ref="A19:B19"/>
    <mergeCell ref="A20:B20"/>
    <mergeCell ref="A21:B21"/>
    <mergeCell ref="A28:B28"/>
    <mergeCell ref="A27:B27"/>
    <mergeCell ref="A25:B25"/>
    <mergeCell ref="A26:B26"/>
    <mergeCell ref="A24:B24"/>
    <mergeCell ref="A23:B23"/>
    <mergeCell ref="A16:B16"/>
    <mergeCell ref="A17:B17"/>
    <mergeCell ref="A18:B18"/>
    <mergeCell ref="A10:B10"/>
  </mergeCells>
  <pageMargins left="0.7" right="0.7" top="0.75" bottom="0.75" header="0.3" footer="0.3"/>
  <pageSetup paperSize="8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</vt:lpstr>
      <vt:lpstr>Labour</vt:lpstr>
      <vt:lpstr>CAPEX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SUGAR GYASI-DENTEH</dc:creator>
  <cp:lastModifiedBy>PRINCE SUGAR GYASI-DENTEH</cp:lastModifiedBy>
  <cp:lastPrinted>2026-08-12T00:30:02Z</cp:lastPrinted>
  <dcterms:created xsi:type="dcterms:W3CDTF">2015-06-05T18:17:20Z</dcterms:created>
  <dcterms:modified xsi:type="dcterms:W3CDTF">2026-09-05T14:12:22Z</dcterms:modified>
</cp:coreProperties>
</file>